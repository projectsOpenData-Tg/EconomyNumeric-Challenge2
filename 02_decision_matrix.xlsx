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ce de décision" sheetId="1" state="visible" r:id="rId1"/>
    <sheet xmlns:r="http://schemas.openxmlformats.org/officeDocument/2006/relationships" name="Légende et garde-fous" sheetId="2" state="visible" r:id="rId2"/>
    <sheet xmlns:r="http://schemas.openxmlformats.org/officeDocument/2006/relationships" name="Seuils et dénominateurs" sheetId="3" state="visible" r:id="rId3"/>
  </sheets>
  <definedNames>
    <definedName name="_xlnm._FilterDatabase" localSheetId="0" hidden="1">'Matrice de décision'!$A$1:$L$32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b val="1"/>
      <sz val="9"/>
    </font>
    <font>
      <name val="Arial"/>
      <sz val="9"/>
    </font>
    <font>
      <name val="Arial"/>
      <b val="1"/>
      <sz val="10"/>
    </font>
    <font>
      <name val="Arial"/>
      <sz val="10"/>
    </font>
    <font>
      <name val="Arial"/>
      <i val="1"/>
      <sz val="9"/>
    </font>
    <font>
      <name val="Arial"/>
      <i val="1"/>
      <color rgb="00C00000"/>
      <sz val="9"/>
    </font>
  </fonts>
  <fills count="8">
    <fill>
      <patternFill/>
    </fill>
    <fill>
      <patternFill patternType="gray125"/>
    </fill>
    <fill>
      <patternFill patternType="solid">
        <fgColor rgb="001F3864"/>
      </patternFill>
    </fill>
    <fill>
      <patternFill patternType="solid">
        <fgColor rgb="00DEEAF6"/>
      </patternFill>
    </fill>
    <fill>
      <patternFill patternType="solid">
        <fgColor rgb="00E2F0D9"/>
      </patternFill>
    </fill>
    <fill>
      <patternFill patternType="solid">
        <fgColor rgb="00FFF2CC"/>
      </patternFill>
    </fill>
    <fill>
      <patternFill patternType="solid">
        <fgColor rgb="00FBE5D6"/>
      </patternFill>
    </fill>
    <fill>
      <patternFill patternType="solid">
        <fgColor rgb="00E4DFEC"/>
      </patternFill>
    </fill>
  </fills>
  <borders count="3">
    <border>
      <left/>
      <right/>
      <top/>
      <bottom/>
      <diagonal/>
    </border>
    <border>
      <bottom style="thin">
        <color rgb="00BFBFBF"/>
      </bottom>
    </border>
    <border>
      <right style="thin">
        <color rgb="00D9D9D9"/>
      </right>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3" borderId="2" applyAlignment="1" pivotButton="0" quotePrefix="0" xfId="0">
      <alignment vertical="top" wrapText="1"/>
    </xf>
    <xf numFmtId="0" fontId="3" fillId="0" borderId="2" applyAlignment="1" pivotButton="0" quotePrefix="0" xfId="0">
      <alignment vertical="top" wrapText="1"/>
    </xf>
    <xf numFmtId="0" fontId="2" fillId="4" borderId="2" applyAlignment="1" pivotButton="0" quotePrefix="0" xfId="0">
      <alignment vertical="top" wrapText="1"/>
    </xf>
    <xf numFmtId="0" fontId="3" fillId="4" borderId="2" applyAlignment="1" pivotButton="0" quotePrefix="0" xfId="0">
      <alignment vertical="top" wrapText="1"/>
    </xf>
    <xf numFmtId="0" fontId="2" fillId="5" borderId="2" applyAlignment="1" pivotButton="0" quotePrefix="0" xfId="0">
      <alignment vertical="top" wrapText="1"/>
    </xf>
    <xf numFmtId="0" fontId="3" fillId="5" borderId="2" applyAlignment="1" pivotButton="0" quotePrefix="0" xfId="0">
      <alignment vertical="top" wrapText="1"/>
    </xf>
    <xf numFmtId="0" fontId="2" fillId="6" borderId="2" applyAlignment="1" pivotButton="0" quotePrefix="0" xfId="0">
      <alignment vertical="top" wrapText="1"/>
    </xf>
    <xf numFmtId="0" fontId="3" fillId="6" borderId="2" applyAlignment="1" pivotButton="0" quotePrefix="0" xfId="0">
      <alignment vertical="top" wrapText="1"/>
    </xf>
    <xf numFmtId="0" fontId="2" fillId="7" borderId="2" applyAlignment="1" pivotButton="0" quotePrefix="0" xfId="0">
      <alignment vertical="top" wrapText="1"/>
    </xf>
    <xf numFmtId="0" fontId="3" fillId="7" borderId="2"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horizontal="left" vertical="center"/>
    </xf>
    <xf numFmtId="0" fontId="5" fillId="0" borderId="0" pivotButton="0" quotePrefix="0" xfId="0"/>
    <xf numFmtId="0" fontId="4" fillId="0" borderId="0" pivotButton="0" quotePrefix="0" xfId="0"/>
    <xf numFmtId="0" fontId="6" fillId="0" borderId="0" applyAlignment="1" pivotButton="0" quotePrefix="0" xfId="0">
      <alignment vertical="top" wrapText="1"/>
    </xf>
    <xf numFmtId="0" fontId="2" fillId="0" borderId="2"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
  <sheetViews>
    <sheetView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42" customWidth="1" min="3" max="3"/>
    <col width="32" customWidth="1" min="4" max="4"/>
    <col width="38" customWidth="1" min="5" max="5"/>
    <col width="20" customWidth="1" min="6" max="6"/>
    <col width="20" customWidth="1" min="7" max="7"/>
    <col width="46" customWidth="1" min="8" max="8"/>
    <col width="34" customWidth="1" min="9" max="9"/>
    <col width="52" customWidth="1" min="10" max="10"/>
    <col width="30" customWidth="1" min="11" max="11"/>
    <col width="40" customWidth="1" min="12" max="12"/>
  </cols>
  <sheetData>
    <row r="1" ht="32" customHeight="1">
      <c r="A1" s="1" t="inlineStr">
        <is>
          <t>ID</t>
        </is>
      </c>
      <c r="B1" s="1" t="inlineStr">
        <is>
          <t>Objectif</t>
        </is>
      </c>
      <c r="C1" s="1" t="inlineStr">
        <is>
          <t>Question décisionnelle</t>
        </is>
      </c>
      <c r="D1" s="1" t="inlineStr">
        <is>
          <t>Indicateur</t>
        </is>
      </c>
      <c r="E1" s="1" t="inlineStr">
        <is>
          <t>Données nécessaires</t>
        </is>
      </c>
      <c r="F1" s="1" t="inlineStr">
        <is>
          <t>Niveau géographique</t>
        </is>
      </c>
      <c r="G1" s="1" t="inlineStr">
        <is>
          <t>Temporalité</t>
        </is>
      </c>
      <c r="H1" s="1" t="inlineStr">
        <is>
          <t>Méthode de calcul</t>
        </is>
      </c>
      <c r="I1" s="1" t="inlineStr">
        <is>
          <t>Dénominateur</t>
        </is>
      </c>
      <c r="J1" s="1" t="inlineStr">
        <is>
          <t>Seuil de classification</t>
        </is>
      </c>
      <c r="K1" s="1" t="inlineStr">
        <is>
          <t>Visualisation</t>
        </is>
      </c>
      <c r="L1" s="1" t="inlineStr">
        <is>
          <t>Décision possible</t>
        </is>
      </c>
    </row>
    <row r="2">
      <c r="A2" s="2" t="inlineStr">
        <is>
          <t>O1-01</t>
        </is>
      </c>
      <c r="B2" s="3" t="inlineStr">
        <is>
          <t>Objectif 1</t>
        </is>
      </c>
      <c r="C2" s="4" t="inlineStr">
        <is>
          <t>L'usage d'Internet dépasse-t-il le seuil de 4 personnes sur 10, et depuis quelle année ?</t>
        </is>
      </c>
      <c r="D2" s="4" t="inlineStr">
        <is>
          <t>Taux de pénétration Internet (individus utilisant Internet, %)</t>
        </is>
      </c>
      <c r="E2" s="4" t="inlineStr">
        <is>
          <t>[Usage d'Internet] nombre d'individus utilisant Internet, par année ; [Population] population totale, par année</t>
        </is>
      </c>
      <c r="F2" s="4" t="inlineStr">
        <is>
          <t>National</t>
        </is>
      </c>
      <c r="G2" s="4" t="inlineStr">
        <is>
          <t>Annuel, série la plus longue disponible</t>
        </is>
      </c>
      <c r="H2" s="4" t="inlineStr">
        <is>
          <t>(Utilisateurs Internet / population totale) x 100. Ne jamais substituer les abonnements aux utilisateurs.</t>
        </is>
      </c>
      <c r="I2" s="4" t="inlineStr">
        <is>
          <t>Population totale du même millésime que le numérateur</t>
        </is>
      </c>
      <c r="J2" s="4" t="inlineStr">
        <is>
          <t>&lt; 40 % = déficit d'usage (hypothèse du sujet) ; 40-60 % = rattrapage ; &gt; 60 % = usage généralisé. Repère de comparaison : moyenne Afrique subsaharienne de l'année.</t>
        </is>
      </c>
      <c r="K2" s="4" t="inlineStr">
        <is>
          <t>Courbe annuelle + ligne de référence à 40 %</t>
        </is>
      </c>
      <c r="L2" s="4" t="inlineStr">
        <is>
          <t>Confirmer ou infirmer l'hypothèse du sujet et dater le point de départ du diagnostic.</t>
        </is>
      </c>
    </row>
    <row r="3">
      <c r="A3" s="2" t="inlineStr">
        <is>
          <t>O1-02</t>
        </is>
      </c>
      <c r="B3" s="3" t="inlineStr">
        <is>
          <t>Objectif 1</t>
        </is>
      </c>
      <c r="C3" s="4" t="inlineStr">
        <is>
          <t>Où se situent les ruptures de rythme, et à quels événements correspondent-elles ?</t>
        </is>
      </c>
      <c r="D3" s="4" t="inlineStr">
        <is>
          <t>Croissance annuelle des utilisateurs / abonnés Internet (%) et variation en points de pénétration</t>
        </is>
      </c>
      <c r="E3" s="4" t="inlineStr">
        <is>
          <t>[Usage d'Internet] séries des utilisateurs et des abonnements Internet, par année (par trimestre si la donnée l'est) ; [Hors énoncé] chronologie datée des événements du secteur (lancement 3G/4G, entrée d'opérateur, réformes tarifaires, COVID)</t>
        </is>
      </c>
      <c r="F3" s="4" t="inlineStr">
        <is>
          <t>National</t>
        </is>
      </c>
      <c r="G3" s="4" t="inlineStr">
        <is>
          <t>Annuel ; trimestriel si la donnée l'est</t>
        </is>
      </c>
      <c r="H3" s="4" t="inlineStr">
        <is>
          <t>(Vt - Vt-1) / Vt-1 ; delta en points de pénétration. Les événements sont annotés, jamais présentés comme des causes démontrées.</t>
        </is>
      </c>
      <c r="I3" s="4" t="inlineStr">
        <is>
          <t>Valeur de l'année précédente (base t-1)</t>
        </is>
      </c>
      <c r="J3" s="4" t="inlineStr">
        <is>
          <t>Accélération = croissance &gt; moyenne de période + 1 écart-type ; stagnation = |croissance| &lt; 2 % ; régression = croissance &lt; 0.</t>
        </is>
      </c>
      <c r="K3" s="4" t="inlineStr">
        <is>
          <t>Barres de croissance annuelle + annotations événementielles</t>
        </is>
      </c>
      <c r="L3" s="4" t="inlineStr">
        <is>
          <t>Identifier les leviers historiquement suivis d'une accélération, à reproduire dans l'objectif 5.</t>
        </is>
      </c>
    </row>
    <row r="4">
      <c r="A4" s="2" t="inlineStr">
        <is>
          <t>O1-03</t>
        </is>
      </c>
      <c r="B4" s="3" t="inlineStr">
        <is>
          <t>Objectif 1</t>
        </is>
      </c>
      <c r="C4" s="4" t="inlineStr">
        <is>
          <t>La croissance vient-elle de nouveaux utilisateurs ou d'une intensification des usages existants ?</t>
        </is>
      </c>
      <c r="D4" s="4" t="inlineStr">
        <is>
          <t>Écart entre abonnements Internet mobile pour 100 habitants et taux d'utilisateurs Internet</t>
        </is>
      </c>
      <c r="E4" s="4" t="inlineStr">
        <is>
          <t>[Usage d'Internet] abonnements Internet mobile (data) et utilisateurs Internet, par année ; [Population] population totale et 15 ans et plus</t>
        </is>
      </c>
      <c r="F4" s="4" t="inlineStr">
        <is>
          <t>National</t>
        </is>
      </c>
      <c r="G4" s="4" t="inlineStr">
        <is>
          <t>Annuel</t>
        </is>
      </c>
      <c r="H4" s="4" t="inlineStr">
        <is>
          <t>(Abonnements / population) x 100, puis écart avec le taux d'utilisateurs. Les abonnements peuvent dépasser 100 % (multi-SIM) : ce n'est pas une erreur.</t>
        </is>
      </c>
      <c r="I4" s="4" t="inlineStr">
        <is>
          <t>Population totale ; variante population 15 ans et plus</t>
        </is>
      </c>
      <c r="J4" s="4" t="inlineStr">
        <is>
          <t>Écart croissant = intensification / multi-SIM ; écart stable = élargissement réel de la base d'usagers.</t>
        </is>
      </c>
      <c r="K4" s="4" t="inlineStr">
        <is>
          <t>Double courbe + aire d'écart</t>
        </is>
      </c>
      <c r="L4" s="4" t="inlineStr">
        <is>
          <t>Orienter les recommandations vers l'acquisition de nouveaux usagers ou vers l'intensification de l'usage.</t>
        </is>
      </c>
    </row>
    <row r="5">
      <c r="A5" s="2" t="inlineStr">
        <is>
          <t>O1-04</t>
        </is>
      </c>
      <c r="B5" s="3" t="inlineStr">
        <is>
          <t>Objectif 1</t>
        </is>
      </c>
      <c r="C5" s="4" t="inlineStr">
        <is>
          <t>Quelle technologie porte l'accès à Internet, et la bascule vers le haut débit est-elle acquise ?</t>
        </is>
      </c>
      <c r="D5" s="4" t="inlineStr">
        <is>
          <t>Part des abonnements par technologie (2G, 3G, 4G, fibre), %</t>
        </is>
      </c>
      <c r="E5" s="4" t="inlineStr">
        <is>
          <t>[Usage d'Internet] abonnements Internet ventilés par technologie (2G, 3G, 4G, fibre), par année</t>
        </is>
      </c>
      <c r="F5" s="4" t="inlineStr">
        <is>
          <t>National</t>
        </is>
      </c>
      <c r="G5" s="4" t="inlineStr">
        <is>
          <t>Annuel</t>
        </is>
      </c>
      <c r="H5" s="4" t="inlineStr">
        <is>
          <t>Abonnements technologie X / total abonnements x 100. Interdit de conclure sur la part des UTILISATEURS si la source ne ventile que des abonnements.</t>
        </is>
      </c>
      <c r="I5" s="4" t="inlineStr">
        <is>
          <t>Total des abonnements Internet de la même période (jamais le total des utilisateurs)</t>
        </is>
      </c>
      <c r="J5" s="4" t="inlineStr">
        <is>
          <t>Bascule haut débit acquise si (3G + 4G) &gt; 80 % des abonnements data. Si la source ne ventile pas : indicateur abandonné, jamais estimé.</t>
        </is>
      </c>
      <c r="K5" s="4" t="inlineStr">
        <is>
          <t>Aires empilées 100 %</t>
        </is>
      </c>
      <c r="L5" s="4" t="inlineStr">
        <is>
          <t>Savoir si le frein est la technologie disponible ou son adoption.</t>
        </is>
      </c>
    </row>
    <row r="6">
      <c r="A6" s="2" t="inlineStr">
        <is>
          <t>O1-05</t>
        </is>
      </c>
      <c r="B6" s="3" t="inlineStr">
        <is>
          <t>Objectif 1</t>
        </is>
      </c>
      <c r="C6" s="4" t="inlineStr">
        <is>
          <t>L'usage d'Internet diffère-t-il d'un territoire à l'autre ?</t>
        </is>
      </c>
      <c r="D6" s="4" t="inlineStr">
        <is>
          <t>Part des individus utilisant Internet par territoire — OPTIONNEL</t>
        </is>
      </c>
      <c r="E6" s="4" t="inlineStr">
        <is>
          <t>[Usage d'Internet] utilisateurs Internet ventilés par territoire ; [Population] population du territoire dans la même tranche d'âge</t>
        </is>
      </c>
      <c r="F6" s="4" t="inlineStr">
        <is>
          <t>Le plus fin où la donnée est fiable : donnée exhaustive jusqu'à la commune ; donnée d'échantillon au niveau où l'échantillon est représentatif (même règle que O3-05)</t>
        </is>
      </c>
      <c r="G6" s="4" t="inlineStr">
        <is>
          <t>Millésime de la source (ponctuel), à documenter</t>
        </is>
      </c>
      <c r="H6" s="4" t="inlineStr">
        <is>
          <t>Part pondérée des individus déclarant avoir utilisé Internet sur la période de référence de la donnée ; intervalle de confiance à 95 % si la donnée provient d'un échantillon. Tranche d'âge et période de référence à aligner sur O1-01, sinon non comparable au national.</t>
        </is>
      </c>
      <c r="I6" s="4" t="inlineStr">
        <is>
          <t>Population du territoire dans la tranche d'âge couverte par la source</t>
        </is>
      </c>
      <c r="J6" s="4" t="inlineStr">
        <is>
          <t>Donnée d'échantillon : affichage si coefficient de variation &lt; 30 %, sinon Non déterminable ; écart avec la moyenne nationale retenu si les IC à 95 % ne se recoupent pas. Classes de O1-01 (&lt; 40 % / 40-60 % / &gt; 60 %) applicables.</t>
        </is>
      </c>
      <c r="K6" s="4" t="inlineStr">
        <is>
          <t>Choroplèthe + barres avec intervalles de confiance</t>
        </is>
      </c>
      <c r="L6" s="4" t="inlineStr">
        <is>
          <t>Repérer les territoires où l'usage reste faible malgré la couverture (O2-06) : entrée du diagnostic des freins (O1-06).</t>
        </is>
      </c>
    </row>
    <row r="7">
      <c r="A7" s="2" t="inlineStr">
        <is>
          <t>O1-06</t>
        </is>
      </c>
      <c r="B7" s="3" t="inlineStr">
        <is>
          <t>Objectif 1</t>
        </is>
      </c>
      <c r="C7" s="4" t="inlineStr">
        <is>
          <t>Là où le réseau existe mais l'usage reste faible, le frein est-il la compétence ou l'équipement ?</t>
        </is>
      </c>
      <c r="D7" s="4" t="inlineStr">
        <is>
          <t>Freins à l'usage : alphabétisation des 15 ans et plus (proxy de compétence), compétences TIC déclarées (ODD 4.4.1), équipement des ménages en smartphone — trois mesures séparées</t>
        </is>
      </c>
      <c r="E7" s="4" t="inlineStr">
        <is>
          <t>[Hors énoncé] alphabétisation, compétences numériques déclarées et équipement en smartphone, par territoire ; [Population] population 15 ans et plus et ménages du territoire. Compétences et smartphone : composantes optionnelles</t>
        </is>
      </c>
      <c r="F7" s="4" t="inlineStr">
        <is>
          <t>Le plus fin où la donnée est fiable : donnée exhaustive jusqu'à la commune ; donnée d'échantillon au niveau où l'échantillon est représentatif (même règle que O3-05)</t>
        </is>
      </c>
      <c r="G7" s="4" t="inlineStr">
        <is>
          <t>Millésime de la source (ponctuel), à documenter</t>
        </is>
      </c>
      <c r="H7" s="4" t="inlineStr">
        <is>
          <t>Part des 15 ans et plus alphabétisés ; part déclarant au moins une compétence TIC de la liste ODD 4.4.1 ; part des ménages équipés d'un smartphone. Jamais agrégées : alphabétisation et compétences mesurent la capacité, l'équipement mesure l'accès au terminal, qui relève du coût. L'alphabétisation n'est qu'un proxy : le libellé du tableau de bord doit le dire. Lecture : usage faible (O1-05 ou O3-05) et couverture &gt; 85 % (O2-06), puis frein de capacité si alphabétisation ou compétences au quartile inférieur, frein de coût si équipement au quartile inférieur ou 1 Go &gt; 2 % du revenu (O2-05).</t>
        </is>
      </c>
      <c r="I7" s="4" t="inlineStr">
        <is>
          <t>Population 15 ans et plus du territoire ; ménages du territoire pour l'équipement</t>
        </is>
      </c>
      <c r="J7" s="4" t="inlineStr">
        <is>
          <t>Pas de norme externe : quartile inférieur national = frein présumé. Les deux freins peuvent coexister ; aucun n'est affirmé sans usage faible ET couverture correcte.</t>
        </is>
      </c>
      <c r="K7" s="4" t="inlineStr">
        <is>
          <t>Tableau territoire x frein (capacité / équipement / coût) + carte des freins</t>
        </is>
      </c>
      <c r="L7" s="4" t="inlineStr">
        <is>
          <t>Fonder ou écarter un levier compétences numériques (O5-02, O5-03) sur un gap mesuré, et non sur la littérature.</t>
        </is>
      </c>
    </row>
    <row r="8">
      <c r="A8" s="5" t="inlineStr">
        <is>
          <t>O2-01</t>
        </is>
      </c>
      <c r="B8" s="6" t="inlineStr">
        <is>
          <t>Objectif 2</t>
        </is>
      </c>
      <c r="C8" s="4" t="inlineStr">
        <is>
          <t>Le marché est-il assez concurrentiel pour faire baisser les prix et élargir l'accès ?</t>
        </is>
      </c>
      <c r="D8" s="4" t="inlineStr">
        <is>
          <t>Parts de marché par abonnés (%) et indice de concentration HHI</t>
        </is>
      </c>
      <c r="E8" s="4" t="inlineStr">
        <is>
          <t>[Marché des télécoms] abonnés par opérateur et par segment (mobile, data, fixe), par année</t>
        </is>
      </c>
      <c r="F8" s="4" t="inlineStr">
        <is>
          <t>National</t>
        </is>
      </c>
      <c r="G8" s="4" t="inlineStr">
        <is>
          <t>Annuel</t>
        </is>
      </c>
      <c r="H8" s="4" t="inlineStr">
        <is>
          <t>Abonnés opérateur / total abonnés x 100 ; HHI = somme des carrés des parts en points. Ne pas mélanger les segments (mobile, data, fixe).</t>
        </is>
      </c>
      <c r="I8" s="4" t="inlineStr">
        <is>
          <t>Total des abonnés du marché pour le même segment</t>
        </is>
      </c>
      <c r="J8" s="4" t="inlineStr">
        <is>
          <t>HHI &gt; 5 000 = duopole très concentré ; 2 500-5 000 = concentré ; &lt; 2 500 = modéré.</t>
        </is>
      </c>
      <c r="K8" s="4" t="inlineStr">
        <is>
          <t>Barres empilées 100 % par année + courbe HHI</t>
        </is>
      </c>
      <c r="L8" s="4" t="inlineStr">
        <is>
          <t>Justifier ou écarter une recommandation de régulation concurrentielle ou tarifaire.</t>
        </is>
      </c>
    </row>
    <row r="9">
      <c r="A9" s="5" t="inlineStr">
        <is>
          <t>O2-02</t>
        </is>
      </c>
      <c r="B9" s="6" t="inlineStr">
        <is>
          <t>Objectif 2</t>
        </is>
      </c>
      <c r="C9" s="4" t="inlineStr">
        <is>
          <t>La position en revenus reflète-t-elle la position en abonnés ?</t>
        </is>
      </c>
      <c r="D9" s="4" t="inlineStr">
        <is>
          <t>Écart (part de chiffre d'affaires - part d'abonnés), en points</t>
        </is>
      </c>
      <c r="E9" s="4" t="inlineStr">
        <is>
          <t>[Marché des télécoms] chiffre d'affaires et abonnés par opérateur, par année, même périmètre</t>
        </is>
      </c>
      <c r="F9" s="4" t="inlineStr">
        <is>
          <t>National</t>
        </is>
      </c>
      <c r="G9" s="4" t="inlineStr">
        <is>
          <t>Annuel</t>
        </is>
      </c>
      <c r="H9" s="4" t="inlineStr">
        <is>
          <t>Part de CA - part d'abonnés, même année et même périmètre.</t>
        </is>
      </c>
      <c r="I9" s="4" t="inlineStr">
        <is>
          <t>Chiffre d'affaires total du secteur ; total des abonnés du marché</t>
        </is>
      </c>
      <c r="J9" s="4" t="inlineStr">
        <is>
          <t>Écart &gt; +5 pts = positionnement haut de marché ; écart &lt; -5 pts = positionnement volume / bas prix ; entre les deux = alignement.</t>
        </is>
      </c>
      <c r="K9" s="4" t="inlineStr">
        <is>
          <t>Nuage de points part d'abonnés vs part de CA</t>
        </is>
      </c>
      <c r="L9" s="4" t="inlineStr">
        <is>
          <t>Cibler les recommandations tarifaires sur l'opérateur et le segment pertinents.</t>
        </is>
      </c>
    </row>
    <row r="10">
      <c r="A10" s="5" t="inlineStr">
        <is>
          <t>O2-03</t>
        </is>
      </c>
      <c r="B10" s="6" t="inlineStr">
        <is>
          <t>Objectif 2</t>
        </is>
      </c>
      <c r="C10" s="4" t="inlineStr">
        <is>
          <t>Le secteur dégage-t-il les ressources nécessaires pour financer l'extension du réseau ?</t>
        </is>
      </c>
      <c r="D10" s="4" t="inlineStr">
        <is>
          <t>Chiffre d'affaires du secteur télécom (FCFA) et croissance annuelle</t>
        </is>
      </c>
      <c r="E10" s="4" t="inlineStr">
        <is>
          <t>[Marché des télécoms] chiffre d'affaires par opérateur, par année, net ou brut de taxes précisé ; [Hors énoncé] inflation annuelle</t>
        </is>
      </c>
      <c r="F10" s="4" t="inlineStr">
        <is>
          <t>National</t>
        </is>
      </c>
      <c r="G10" s="4" t="inlineStr">
        <is>
          <t>Annuel</t>
        </is>
      </c>
      <c r="H10" s="4" t="inlineStr">
        <is>
          <t>Somme des CA opérateurs ; croissance = (CAt - CAt-1) / CAt-1. Préciser si le CA est net ou brut de taxes.</t>
        </is>
      </c>
      <c r="I10" s="4" t="inlineStr">
        <is>
          <t>Chiffre d'affaires de l'année précédente ; variante CA par habitant</t>
        </is>
      </c>
      <c r="J10" s="4" t="inlineStr">
        <is>
          <t>Croissance réelle positive si croissance nominale &gt; inflation de l'année ; stagnation si &lt; 2 %.</t>
        </is>
      </c>
      <c r="K10" s="4" t="inlineStr">
        <is>
          <t>Courbe de CA + barres de croissance</t>
        </is>
      </c>
      <c r="L10" s="4" t="inlineStr">
        <is>
          <t>Étayer la faisabilité financière des recommandations d'investissement.</t>
        </is>
      </c>
    </row>
    <row r="11">
      <c r="A11" s="5" t="inlineStr">
        <is>
          <t>O2-04</t>
        </is>
      </c>
      <c r="B11" s="6" t="inlineStr">
        <is>
          <t>Objectif 2</t>
        </is>
      </c>
      <c r="C11" s="4" t="inlineStr">
        <is>
          <t>L'investissement suit-il le revenu, ou le réseau est-il sous-financé ?</t>
        </is>
      </c>
      <c r="D11" s="4" t="inlineStr">
        <is>
          <t>Taux d'investissement CAPEX / CA (%) — OPTIONNEL</t>
        </is>
      </c>
      <c r="E11" s="4" t="inlineStr">
        <is>
          <t>[Marché des télécoms] CAPEX et chiffre d'affaires par opérateur, par année, même périmètre de consolidation</t>
        </is>
      </c>
      <c r="F11" s="4" t="inlineStr">
        <is>
          <t>National</t>
        </is>
      </c>
      <c r="G11" s="4" t="inlineStr">
        <is>
          <t>Annuel</t>
        </is>
      </c>
      <c r="H11" s="4" t="inlineStr">
        <is>
          <t>CAPEX / CA x 100 sur la même année et le même périmètre de consolidation.</t>
        </is>
      </c>
      <c r="I11" s="4" t="inlineStr">
        <is>
          <t>Chiffre d'affaires du secteur de la même année</t>
        </is>
      </c>
      <c r="J11" s="4" t="inlineStr">
        <is>
          <t>&lt; 15 % = sous-investissement ; 15-25 % = régime normal ; &gt; 25 % = cycle d'extension. Indicateur abandonné si le CAPEX est indisponible : aucune estimation.</t>
        </is>
      </c>
      <c r="K11" s="4" t="inlineStr">
        <is>
          <t>Barres CAPEX + courbe du ratio</t>
        </is>
      </c>
      <c r="L11" s="4" t="inlineStr">
        <is>
          <t>Recommander un mécanisme de financement (fonds de service universel) en cas de sous-investissement.</t>
        </is>
      </c>
    </row>
    <row r="12">
      <c r="A12" s="5" t="inlineStr">
        <is>
          <t>O2-05</t>
        </is>
      </c>
      <c r="B12" s="6" t="inlineStr">
        <is>
          <t>Objectif 2</t>
        </is>
      </c>
      <c r="C12" s="4" t="inlineStr">
        <is>
          <t>Le service est-il abordable au regard du revenu des ménages ?</t>
        </is>
      </c>
      <c r="D12" s="4" t="inlineStr">
        <is>
          <t>ARPU mensuel et coût de 1 Go rapporté au revenu mensuel par habitant (%) — OPTIONNEL</t>
        </is>
      </c>
      <c r="E12" s="4" t="inlineStr">
        <is>
          <t>[Marché des télécoms] ARPU, ou chiffre d'affaires et abonnés moyens par opérateur ; prix de 1 Go de données, par année ; [Hors énoncé] revenu (PIB ou RNB) par habitant</t>
        </is>
      </c>
      <c r="F12" s="4" t="inlineStr">
        <is>
          <t>National</t>
        </is>
      </c>
      <c r="G12" s="4" t="inlineStr">
        <is>
          <t>Annuel</t>
        </is>
      </c>
      <c r="H12" s="4" t="inlineStr">
        <is>
          <t>ARPU = CA / nombre moyen d'abonnés / 12 ; coût de 1 Go / revenu mensuel par habitant x 100.</t>
        </is>
      </c>
      <c r="I12" s="4" t="inlineStr">
        <is>
          <t>PIB (ou RNB) par habitant ramené au mois ; revenu médian si disponible</t>
        </is>
      </c>
      <c r="J12" s="4" t="inlineStr">
        <is>
          <t>Référence Commission ONU sur le haut débit : 1 Go doit coûter &lt;= 2 % du revenu mensuel. Au-delà = service non abordable.</t>
        </is>
      </c>
      <c r="K12" s="4" t="inlineStr">
        <is>
          <t>Barres comparatives + repère à 2 %</t>
        </is>
      </c>
      <c r="L12" s="4" t="inlineStr">
        <is>
          <t>Fonder une recommandation tarifaire chiffrée plutôt qu'une intention générale.</t>
        </is>
      </c>
    </row>
    <row r="13">
      <c r="A13" s="5" t="inlineStr">
        <is>
          <t>O2-06</t>
        </is>
      </c>
      <c r="B13" s="6" t="inlineStr">
        <is>
          <t>Objectif 2</t>
        </is>
      </c>
      <c r="C13" s="4" t="inlineStr">
        <is>
          <t>Quels territoires restent hors de portée du haut débit mobile ?</t>
        </is>
      </c>
      <c r="D13" s="4" t="inlineStr">
        <is>
          <t>Part de la population couverte en 3G et en 4G (%) par territoire</t>
        </is>
      </c>
      <c r="E13" s="4" t="inlineStr">
        <is>
          <t>[Marché des télécoms] population ou zones couvertes en 3G et en 4G, par opérateur et par territoire ; [Population] population par territoire ; référentiel territorial</t>
        </is>
      </c>
      <c r="F13" s="4" t="inlineStr">
        <is>
          <t>Région ou préfecture selon la source</t>
        </is>
      </c>
      <c r="G13" s="4" t="inlineStr">
        <is>
          <t>Stock : dernier millésime pour la carte seule ; millésime le plus proche de O3-01 pour les croisements (règle des millésimes)</t>
        </is>
      </c>
      <c r="H13" s="4" t="inlineStr">
        <is>
          <t>Population couverte / population du territoire x 100. Couverture théorique déclarée, à distinguer de la qualité de service réellement perçue (O2-09). Si O2-09 est indisponible, la couverture reste théorique et le tableau de bord l'affiche en toutes lettres.</t>
        </is>
      </c>
      <c r="I13" s="4" t="inlineStr">
        <is>
          <t>Population du territoire (même découpage administratif)</t>
        </is>
      </c>
      <c r="J13" s="4" t="inlineStr">
        <is>
          <t>&lt; 50 % = zone blanche prioritaire ; 50-85 % = couverture partielle ; &gt; 85 % = territoire couvert.</t>
        </is>
      </c>
      <c r="K13" s="4" t="inlineStr">
        <is>
          <t>Choroplèthe de couverture</t>
        </is>
      </c>
      <c r="L13" s="4" t="inlineStr">
        <is>
          <t>Rendre possible le croisement offre réseau x accès financier (O4-06) et cibler géographiquement l'infrastructure.</t>
        </is>
      </c>
    </row>
    <row r="14">
      <c r="A14" s="5" t="inlineStr">
        <is>
          <t>O2-07</t>
        </is>
      </c>
      <c r="B14" s="6" t="inlineStr">
        <is>
          <t>Objectif 2</t>
        </is>
      </c>
      <c r="C14" s="4" t="inlineStr">
        <is>
          <t>La fibre optique progresse-t-elle, et jusqu'où le réseau fibre s'étend-il sur le territoire ?</t>
        </is>
      </c>
      <c r="D14" s="4" t="inlineStr">
        <is>
          <t>Déploiement de la fibre : abonnements FTTH pour 100 habitants ; linéaire de fibre déployé (km) ; territoires raccordés au réseau fibre</t>
        </is>
      </c>
      <c r="E14" s="4" t="inlineStr">
        <is>
          <t>[Marché des télécoms] abonnements fibre (FTTH), par année ; linéaire de fibre déployé (km) et territoires raccordés (composantes optionnelles) ; [Population] population et ménages</t>
        </is>
      </c>
      <c r="F14" s="4" t="inlineStr">
        <is>
          <t>National ; région ou préfecture pour la composante territoriale si la source existe</t>
        </is>
      </c>
      <c r="G14" s="4" t="inlineStr">
        <is>
          <t>Annuel</t>
        </is>
      </c>
      <c r="H14" s="4" t="inlineStr">
        <is>
          <t>(Abonnements FTTH / population) x 100 ; croissance annuelle des abonnements FTTH ; km en stock et km ajoutés (km t - km t-1). Ne jamais additionner le backbone (réseau de transport) et la fibre d'accès (FTTH) : ce sont deux réseaux distincts. Composante absente de la source = abandonnée, aucune estimation.</t>
        </is>
      </c>
      <c r="I14" s="4" t="inlineStr">
        <is>
          <t>Population totale (norme UIT pour le haut débit fixe) ; variante pour 100 ménages, la fibre étant un abonnement de foyer ; km de l'année précédente pour les ajouts</t>
        </is>
      </c>
      <c r="J14" s="4" t="inlineStr">
        <is>
          <t>Aucun seuil externe robuste : lecture en tendance (croissance &gt; 0, accélération par rapport à t-1). Composante territoriale : territoire raccordé / non raccordé. Seuils à fixer sur les données observées.</t>
        </is>
      </c>
      <c r="K14" s="4" t="inlineStr">
        <is>
          <t>Courbe des abonnements FTTH + barres des km déployés par an ; carte raccordé / non raccordé si disponible</t>
        </is>
      </c>
      <c r="L14" s="4" t="inlineStr">
        <is>
          <t>Établir si la fibre est un levier d'accélération ou un segment urbain de niche, et cibler l'extension du backbone vers les territoires non raccordés.</t>
        </is>
      </c>
    </row>
    <row r="15">
      <c r="A15" s="5" t="inlineStr">
        <is>
          <t>O2-08</t>
        </is>
      </c>
      <c r="B15" s="6" t="inlineStr">
        <is>
          <t>Objectif 2</t>
        </is>
      </c>
      <c r="C15" s="4" t="inlineStr">
        <is>
          <t>L'investissement se traduit-il dans le déploiement physique du réseau, et vers quelles technologies ?</t>
        </is>
      </c>
      <c r="D15" s="4" t="inlineStr">
        <is>
          <t>Déploiement physique du réseau mobile : nombre de sites radio par technologie (2G, 3G, 4G) et ajouts nets annuels</t>
        </is>
      </c>
      <c r="E15" s="4" t="inlineStr">
        <is>
          <t>[Marché des télécoms] nombre de sites radio par technologie et par opérateur, par année ; nombre de localités couvertes (optionnel)</t>
        </is>
      </c>
      <c r="F15" s="4" t="inlineStr">
        <is>
          <t>National ; région si la source ventile</t>
        </is>
      </c>
      <c r="G15" s="4" t="inlineStr">
        <is>
          <t>Annuel</t>
        </is>
      </c>
      <c r="H15" s="4" t="inlineStr">
        <is>
          <t>Ajouts nets = sites t - sites t-1, par technologie. Mesure un investissement EN VOLUME, pas en valeur : ne remplace pas le ratio CAPEX / CA de O2-04 et n'autorise aucune conversion en FCFA. Préciser si un site multi-technologie est compté une fois par technologie ou une seule fois.</t>
        </is>
      </c>
      <c r="I15" s="4" t="inlineStr">
        <is>
          <t>Stock de sites de l'année précédente (croissance) ; variante sites pour 100 000 habitants ou pour 1 000 km2 si ventilation régionale</t>
        </is>
      </c>
      <c r="J15" s="4" t="inlineStr">
        <is>
          <t>Aucun seuil externe : lecture relative de la série. Ajouts nets 4G en hausse = cycle d'extension ; ajouts nets proches de zéro deux années de suite = gel de l'investissement réseau. À recalibrer sur la série observée.</t>
        </is>
      </c>
      <c r="K15" s="4" t="inlineStr">
        <is>
          <t>Barres empilées des ajouts nets par technologie + courbe du stock de sites</t>
        </is>
      </c>
      <c r="L15" s="4" t="inlineStr">
        <is>
          <t>Mesurer l'investissement en volume, en complément de sa mesure en valeur (O2-04), et rapprocher le rythme de déploiement 4G des zones blanches de O2-06.</t>
        </is>
      </c>
    </row>
    <row r="16">
      <c r="A16" s="5" t="inlineStr">
        <is>
          <t>O2-09</t>
        </is>
      </c>
      <c r="B16" s="6" t="inlineStr">
        <is>
          <t>Objectif 2</t>
        </is>
      </c>
      <c r="C16" s="4" t="inlineStr">
        <is>
          <t>La couverture déclarée se traduit-elle par un service réellement utilisable ?</t>
        </is>
      </c>
      <c r="D16" s="4" t="inlineStr">
        <is>
          <t>Qualité de service mobile mesurée : débit descendant médian et latence médiane par territoire — OPTIONNEL</t>
        </is>
      </c>
      <c r="E16" s="4" t="inlineStr">
        <is>
          <t>[Marché des télécoms] mesures de qualité de service (débit descendant, latence) par territoire, avec le nombre de mesures ; référentiel territorial</t>
        </is>
      </c>
      <c r="F16" s="4" t="inlineStr">
        <is>
          <t>Le plus fin où le nombre de mesures est suffisant, après rattachement des mesures au référentiel territorial</t>
        </is>
      </c>
      <c r="G16" s="4" t="inlineStr">
        <is>
          <t>Trimestriel ou annuel selon la source ; millésime rapproché de O2-06 (règle des millésimes)</t>
        </is>
      </c>
      <c r="H16" s="4" t="inlineStr">
        <is>
          <t>Médiane des débits et latences pondérée par le nombre de mesures, après rattachement au territoire. Si les mesures sont faites par les utilisateurs eux-mêmes : biais vers les zones urbaines et les possesseurs de smartphone, à signaler. Absence de mesure ≠ absence de service : un territoire sans mesure est Non déterminable, jamais classé à 0. Mesures de protocoles différents jamais mélangées.</t>
        </is>
      </c>
      <c r="I16" s="4" t="inlineStr">
        <is>
          <t>Nombre de tests du territoire (pondération de la médiane)</t>
        </is>
      </c>
      <c r="J16" s="4" t="inlineStr">
        <is>
          <t>Affichage seulement si le territoire atteint un nombre minimal de mesures (à fixer après exploration, convention de travail), sinon Non déterminable. Couverture de façade = couverture déclarée &gt; 85 % (O2-06) et débit médian au quartile inférieur national.</t>
        </is>
      </c>
      <c r="K16" s="4" t="inlineStr">
        <is>
          <t>Nuage de points couverture déclarée (O2-06) x débit médian + carte</t>
        </is>
      </c>
      <c r="L16" s="4" t="inlineStr">
        <is>
          <t>Distinguer les territoires à couvrir de ceux où le réseau existe mais doit être densifié, et nuancer les cellules de O4-06.</t>
        </is>
      </c>
    </row>
    <row r="17">
      <c r="A17" s="7" t="inlineStr">
        <is>
          <t>O3-01</t>
        </is>
      </c>
      <c r="B17" s="8" t="inlineStr">
        <is>
          <t>Objectif 3</t>
        </is>
      </c>
      <c r="C17" s="4" t="inlineStr">
        <is>
          <t>Où l'offre financière formelle est-elle physiquement présente, et quels territoires sont à zéro ?</t>
        </is>
      </c>
      <c r="D17" s="4" t="inlineStr">
        <is>
          <t>Nombre de points de service par type (agences bancaires, IMF, assurances, ATM) par territoire</t>
        </is>
      </c>
      <c r="E17" s="4" t="inlineStr">
        <is>
          <t>[Établissements financiers] agences bancaires, points IMF, agences d'assurance et ATM, avec leur localisation (adresse, localité ou coordonnées) ; référentiel territorial (régions, préfectures, communes)</t>
        </is>
      </c>
      <c r="F17" s="4" t="inlineStr">
        <is>
          <t>Le plus fin atteignable ; plancher = préfecture</t>
        </is>
      </c>
      <c r="G17" s="4" t="inlineStr">
        <is>
          <t>Stock à une date de référence unique, millésime documenté</t>
        </is>
      </c>
      <c r="H17" s="4" t="inlineStr">
        <is>
          <t>Comptage après normalisation des libellés et rattachement au référentiel territorial ; dédoublonnage siège / agence ; traçage des points non rattachables.</t>
        </is>
      </c>
      <c r="I17" s="4" t="inlineStr">
        <is>
          <t>Sans objet (effectif brut)</t>
        </is>
      </c>
      <c r="J17" s="4" t="inlineStr">
        <is>
          <t>Présence : 0 = absence ; 1-2 = présence marginale ; &gt;= 3 = présence établie.</t>
        </is>
      </c>
      <c r="K17" s="4" t="inlineStr">
        <is>
          <t>Carte à points par type + tableau de présence / absence</t>
        </is>
      </c>
      <c r="L17" s="4" t="inlineStr">
        <is>
          <t>Constituer la base de tout le diagnostic territorial et révéler les territoires sans aucun point formel.</t>
        </is>
      </c>
    </row>
    <row r="18">
      <c r="A18" s="7" t="inlineStr">
        <is>
          <t>O3-02</t>
        </is>
      </c>
      <c r="B18" s="8" t="inlineStr">
        <is>
          <t>Objectif 3</t>
        </is>
      </c>
      <c r="C18" s="4" t="inlineStr">
        <is>
          <t>L'offre formelle est-elle concentrée dans les villes, comme l'affirme le sujet ?</t>
        </is>
      </c>
      <c r="D18" s="4" t="inlineStr">
        <is>
          <t>Part de chaque territoire et de chaque strate urbaine (Grand Lomé / autres villes / rural) dans le total national des points formels (%), rapportée à sa part de population</t>
        </is>
      </c>
      <c r="E18" s="4" t="inlineStr">
        <is>
          <t>Résultats O3-01 ; [Population] population par territoire et par milieu de résidence ; strate urbaine du référentiel territorial</t>
        </is>
      </c>
      <c r="F18" s="4" t="inlineStr">
        <is>
          <t>Région et préfecture ; strate urbaine au niveau de la localité ou de la commune, selon le rattachement des points</t>
        </is>
      </c>
      <c r="G18" s="4" t="inlineStr">
        <is>
          <t>Stock, même date que O3-01</t>
        </is>
      </c>
      <c r="H18" s="4" t="inlineStr">
        <is>
          <t>Points du territoire (ou de la strate) / total national x 100 ; indice de concentration = part des points / part de la population (&gt; 1 = sur-représenté, &lt; 1 = sous-représenté). Strate d'un point = milieu de la localité où il est situé ; si le point n'est rattaché qu'à une commune, strate de la commune.</t>
        </is>
      </c>
      <c r="I18" s="4" t="inlineStr">
        <is>
          <t>Total national des points de service formels ; population nationale pour la part démographique</t>
        </is>
      </c>
      <c r="J18" s="4" t="inlineStr">
        <is>
          <t>Concentration urbaine confirmée si le Grand Lomé concentre plus de 50 % des points pour moins de 25 % de la population. Gradient urbain confirmé si l'indice de concentration décroît du Grand Lomé aux autres villes, puis au rural.</t>
        </is>
      </c>
      <c r="K18" s="4" t="inlineStr">
        <is>
          <t>Diagramme de Pareto + choroplèthe + barres de l'indice de concentration par strate</t>
        </is>
      </c>
      <c r="L18" s="4" t="inlineStr">
        <is>
          <t>Confirmer ou infirmer l'hypothèse des banques concentrées dans les villes, et distinguer un effet Lomé d'un effet urbain général.</t>
        </is>
      </c>
    </row>
    <row r="19">
      <c r="A19" s="7" t="inlineStr">
        <is>
          <t>O3-03</t>
        </is>
      </c>
      <c r="B19" s="8" t="inlineStr">
        <is>
          <t>Objectif 3</t>
        </is>
      </c>
      <c r="C19" s="4" t="inlineStr">
        <is>
          <t>Le réseau d'agents mobile money comble-t-il le vide laissé par l'offre formelle ?</t>
        </is>
      </c>
      <c r="D19" s="4" t="inlineStr">
        <is>
          <t>Nombre d'agents mobile money par territoire</t>
        </is>
      </c>
      <c r="E19" s="4" t="inlineStr">
        <is>
          <t>[Agents mobile money] agents par opérateur avec leur localisation, statut enregistré / actif si la donnée le distingue ; référentiel territorial</t>
        </is>
      </c>
      <c r="F19" s="4" t="inlineStr">
        <is>
          <t>Commune si disponible, sinon préfecture</t>
        </is>
      </c>
      <c r="G19" s="4" t="inlineStr">
        <is>
          <t>Stock à une date de référence documentée</t>
        </is>
      </c>
      <c r="H19" s="4" t="inlineStr">
        <is>
          <t>Comptage. Distinguer agents enregistrés et agents actifs ; signaler le double comptage des points multi-opérateurs (un même commerçant peut être agent de deux réseaux).</t>
        </is>
      </c>
      <c r="I19" s="4" t="inlineStr">
        <is>
          <t>Sans objet (effectif brut)</t>
        </is>
      </c>
      <c r="J19" s="4" t="inlineStr">
        <is>
          <t>0 agent = territoire non desservi par le mobile money (cas le plus critique) ; sinon classement par quartiles observés.</t>
        </is>
      </c>
      <c r="K19" s="4" t="inlineStr">
        <is>
          <t>Carte à points et carte de densité</t>
        </is>
      </c>
      <c r="L19" s="4" t="inlineStr">
        <is>
          <t>Localiser les zones où même le mobile money est absent.</t>
        </is>
      </c>
    </row>
    <row r="20">
      <c r="A20" s="7" t="inlineStr">
        <is>
          <t>O3-04</t>
        </is>
      </c>
      <c r="B20" s="8" t="inlineStr">
        <is>
          <t>Objectif 3</t>
        </is>
      </c>
      <c r="C20" s="4" t="inlineStr">
        <is>
          <t>Le mobile money est-il réellement utilisé, ou seulement disponible ?</t>
        </is>
      </c>
      <c r="D20" s="4" t="inlineStr">
        <is>
          <t>Comptes mobile money ouverts et actifs (90 jours) ; volume et valeur des transactions</t>
        </is>
      </c>
      <c r="E20" s="4" t="inlineStr">
        <is>
          <t>[Hors énoncé] comptes mobile money ouverts et actifs, volume et valeur des transactions, par année ; [Population] population 15 ans et plus</t>
        </is>
      </c>
      <c r="F20" s="4" t="inlineStr">
        <is>
          <t>Le plus fin publié par la source (région, préfecture, commune) ; national par défaut, la ventilation sous-nationale étant rarement publiée</t>
        </is>
      </c>
      <c r="G20" s="4" t="inlineStr">
        <is>
          <t>Annuel</t>
        </is>
      </c>
      <c r="H20" s="4" t="inlineStr">
        <is>
          <t>Taux d'activité = comptes actifs / comptes ouverts ; transactions par compte actif ; valeur moyenne par transaction.</t>
        </is>
      </c>
      <c r="I20" s="4" t="inlineStr">
        <is>
          <t>Population 15 ans et plus pour le taux de détention ; comptes ouverts pour le taux d'activité</t>
        </is>
      </c>
      <c r="J20" s="4" t="inlineStr">
        <is>
          <t>Taux d'activité &lt; 50 % = accès acquis mais usage faible ; détention adulte &gt; 50 % = le mobile money est bien le canal principal, comme l'affirme le sujet.</t>
        </is>
      </c>
      <c r="K20" s="4" t="inlineStr">
        <is>
          <t>Cartes de KPI + courbes annuelles</t>
        </is>
      </c>
      <c r="L20" s="4" t="inlineStr">
        <is>
          <t>Distinguer un problème d'accès (maillage) d'un problème d'usage (confiance, tarifs, compétences).</t>
        </is>
      </c>
    </row>
    <row r="21">
      <c r="A21" s="7" t="inlineStr">
        <is>
          <t>O3-05</t>
        </is>
      </c>
      <c r="B21" s="8" t="inlineStr">
        <is>
          <t>Objectif 3</t>
        </is>
      </c>
      <c r="C21" s="4" t="inlineStr">
        <is>
          <t>L'usage du mobile money diffère-t-il d'un territoire à l'autre, et le frein y est-il l'accès ou l'usage ?</t>
        </is>
      </c>
      <c r="D21" s="4" t="inlineStr">
        <is>
          <t>Part des adultes utilisant le mobile money, par territoire — OPTIONNEL</t>
        </is>
      </c>
      <c r="E21" s="4" t="inlineStr">
        <is>
          <t>[Hors énoncé] usage du mobile money ventilé par territoire (comptes actifs ou usage déclaré) ; [Population] population 15 ans et plus du territoire</t>
        </is>
      </c>
      <c r="F21" s="4" t="inlineStr">
        <is>
          <t>Même cible que O3-01 : région, préfecture, commune. Niveau retenu = le plus fin où la source est fiable, établi après inspection : niveau de ventilation publié pour une donnée administrative ou opérateur ; niveau de représentativité documenté (strates du plan de sondage) et précision mesurée pour une donnée d'échantillon.</t>
        </is>
      </c>
      <c r="G21" s="4" t="inlineStr">
        <is>
          <t>Millésime de la source, à documenter</t>
        </is>
      </c>
      <c r="H21" s="4" t="inlineStr">
        <is>
          <t>Donnée administrative : comptes actifs / population 15 ans et plus du territoire. Donnée d'échantillon : part pondérée (poids de sondage) des 15 ans et plus déclarant un usage sur 12 mois, avec intervalle de confiance à 95 %. Les deux ne se comparent pas et ne s'additionnent pas (comptes ≠ individus, multi-comptes). Aucune estimation sur petits domaines ni imputation pour les territoires non couverts.</t>
        </is>
      </c>
      <c r="I21" s="4" t="inlineStr">
        <is>
          <t>Population 15 ans et plus du territoire (même découpage) ; population pondérée selon le plan de sondage pour une donnée d'échantillon</t>
        </is>
      </c>
      <c r="J21" s="4" t="inlineStr">
        <is>
          <t>Donnée d'échantillon : estimation affichée seulement si le territoire contient des unités enquêtées et si son coefficient de variation est &lt; 30 %, sinon Non déterminable. Écart avec la moyenne nationale retenu seulement si les intervalles de confiance à 95 % ne se recoupent pas.</t>
        </is>
      </c>
      <c r="K21" s="4" t="inlineStr">
        <is>
          <t>Barres horizontales par territoire avec intervalles de confiance + carte au niveau retenu</t>
        </is>
      </c>
      <c r="L21" s="4" t="inlineStr">
        <is>
          <t>Donnée disponible : distinguer les territoires où le frein est l'accès (maillage) de ceux où c'est l'usage. Donnée absente ou non fiable : l'usage reste mesuré au national (O3-04) et le diagnostic territorial porte sur l'offre seulement.</t>
        </is>
      </c>
    </row>
    <row r="22">
      <c r="A22" s="7" t="inlineStr">
        <is>
          <t>O3-06</t>
        </is>
      </c>
      <c r="B22" s="8" t="inlineStr">
        <is>
          <t>Objectif 3</t>
        </is>
      </c>
      <c r="C22" s="4" t="inlineStr">
        <is>
          <t>Le mobile money est-il abordable, en particulier là où il n'a pas d'alternative formelle ?</t>
        </is>
      </c>
      <c r="D22" s="4" t="inlineStr">
        <is>
          <t>Frais d'une opération mobile money de référence (retrait chez un agent, transfert) en % du montant et en % du revenu mensuel par habitant</t>
        </is>
      </c>
      <c r="E22" s="4" t="inlineStr">
        <is>
          <t>[Hors énoncé] tarifs du mobile money par type d'opération, par montant et par opérateur ; revenu (PIB ou RNB) par habitant, comme O2-05 ; composante optionnelle : tarifs bancaires pour un panier d'opérations identique</t>
        </is>
      </c>
      <c r="F22" s="4" t="inlineStr">
        <is>
          <t>National (grille tarifaire unique sur le territoire) ; lecture territoriale par croisement avec O4-05</t>
        </is>
      </c>
      <c r="G22" s="4" t="inlineStr">
        <is>
          <t>Stock, dernière grille publiée ; historique annuel si les grilles sont archivées</t>
        </is>
      </c>
      <c r="H22" s="4" t="inlineStr">
        <is>
          <t>Frais pour des montants de référence fixés à l'avance (petit, moyen, gros montant, bornes documentées) : frais / montant x 100 et frais / revenu mensuel par habitant x 100, par opérateur, retrait et transfert séparés. Pas de coût moyen observé sans données de transactions par opération : aucune estimation. Comparaison bancaire seulement sur un panier d'opérations identique, sinon non comparée. Le caractère subi de la dépendance se lit dans O4-05 (absence d'alternative), pas dans le frais.</t>
        </is>
      </c>
      <c r="I22" s="4" t="inlineStr">
        <is>
          <t>Montant de l'opération ; PIB (ou RNB) par habitant ramené au mois</t>
        </is>
      </c>
      <c r="J22" s="4" t="inlineStr">
        <is>
          <t>Aucun seuil domestique de référence. Repère indicatif : 3 % du montant (cible ODD 10.c, conçue pour les transferts internationaux). Structure régressive signalée si le frais en % du montant est plus élevé pour les petits montants.</t>
        </is>
      </c>
      <c r="K22" s="4" t="inlineStr">
        <is>
          <t>Courbe des frais en % du montant selon le montant, par opérateur + repère à 3 %</t>
        </is>
      </c>
      <c r="L22" s="4" t="inlineStr">
        <is>
          <t>Étayer un levier tarifaire (O5-03) ciblé sur les territoires Mobile money uniquement ou dominant (O4-05), où le frais n'a pas d'alternative.</t>
        </is>
      </c>
    </row>
    <row r="23">
      <c r="A23" s="9" t="inlineStr">
        <is>
          <t>O4-01</t>
        </is>
      </c>
      <c r="B23" s="10" t="inlineStr">
        <is>
          <t>Objectif 4</t>
        </is>
      </c>
      <c r="C23" s="4" t="inlineStr">
        <is>
          <t>Combien d'habitants chaque point de service formel doit-il absorber, et où la charge est-elle insoutenable ?</t>
        </is>
      </c>
      <c r="D23" s="4" t="inlineStr">
        <is>
          <t>Habitants par point de service financier formel : agrégé (banques + IMF + assurances), par type (ATM compris) et nombre de types présents</t>
        </is>
      </c>
      <c r="E23" s="4" t="inlineStr">
        <is>
          <t>Résultats O3-01 ; [Population] population par territoire</t>
        </is>
      </c>
      <c r="F23" s="4" t="inlineStr">
        <is>
          <t>Préfecture (plancher), commune si disponible</t>
        </is>
      </c>
      <c r="G23" s="4" t="inlineStr">
        <is>
          <t>Stock ; population du millésime le plus proche de la date des points</t>
        </is>
      </c>
      <c r="H23" s="4" t="inlineStr">
        <is>
          <t>Agrégé = population / (agences bancaires + points IMF + agences d'assurance), soit les établissements nommés dans l'énoncé. ATM exclus de l'agrégat : un automate ne remplace pas un guichet (ni ouverture de compte, ni crédit). Par type = population / points de ce type, ATM compris ; jamais pondéré ni additionné entre types. Diversité = nombre de types présents (0 à 4 : banque, IMF, assurance, ATM). 0 point : résultat NON DÉFINI, jamais 0 ni une valeur infinie.</t>
        </is>
      </c>
      <c r="I23" s="4" t="inlineStr">
        <is>
          <t>Nombre de points de service formels du territoire, au total (ATM exclus) et par type (dénominateur nul traité comme une catégorie, pas comme une erreur)</t>
        </is>
      </c>
      <c r="J23" s="4" t="inlineStr">
        <is>
          <t>Agrégé : &lt; 10 000 hab/point = bien desservi ; 10 000-30 000 = tendu ; &gt; 30 000 = sous-desservi ; 0 point = non défini et critique. Par type : comparaison à la médiane nationale du type. Seuils à recalibrer sur les quartiles réellement observés.</t>
        </is>
      </c>
      <c r="K23" s="4" t="inlineStr">
        <is>
          <t>Choroplèthe de l'agrégat + barres empilées par type + classement des territoires ; filtre par strate urbaine</t>
        </is>
      </c>
      <c r="L23" s="4" t="inlineStr">
        <is>
          <t>Prioriser les territoires d'implantation de nouveaux points de service, et le type de point qui y manque.</t>
        </is>
      </c>
    </row>
    <row r="24">
      <c r="A24" s="9" t="inlineStr">
        <is>
          <t>O4-02</t>
        </is>
      </c>
      <c r="B24" s="10" t="inlineStr">
        <is>
          <t>Objectif 4</t>
        </is>
      </c>
      <c r="C24" s="4" t="inlineStr">
        <is>
          <t>Les territoires atteignent-ils les niveaux d'accès financier de référence ?</t>
        </is>
      </c>
      <c r="D24" s="4" t="inlineStr">
        <is>
          <t>Points de service pour 10 000 adultes et pour 1 000 km2</t>
        </is>
      </c>
      <c r="E24" s="4" t="inlineStr">
        <is>
          <t>Résultats O3-01 ; [Population] population 15 ans et plus ; superficie des territoires (référentiel territorial)</t>
        </is>
      </c>
      <c r="F24" s="4" t="inlineStr">
        <is>
          <t>Région et préfecture</t>
        </is>
      </c>
      <c r="G24" s="4" t="inlineStr">
        <is>
          <t>Stock</t>
        </is>
      </c>
      <c r="H24" s="4" t="inlineStr">
        <is>
          <t>(Points / adultes) x 10 000 ; (points / superficie en km2) x 1 000. Deux mesures complémentaires, jamais fusionnées en une seule. Calcul par type de point : agences et ATM toujours comptés séparément (pratique du Financial Access Survey).</t>
        </is>
      </c>
      <c r="I24" s="4" t="inlineStr">
        <is>
          <t>Population 15 ans et plus (standard FMI / Financial Access Survey) ET superficie en km2 : un territoire vaste et peu peuplé est mal servi autrement qu'un territoire dense</t>
        </is>
      </c>
      <c r="J24" s="4" t="inlineStr">
        <is>
          <t>Comparaison à la médiane nationale et à la moyenne UEMOA ; quartile inférieur = territoire prioritaire.</t>
        </is>
      </c>
      <c r="K24" s="4" t="inlineStr">
        <is>
          <t>Barres comparatives + carte bivariée (densité démographique x densité géographique)</t>
        </is>
      </c>
      <c r="L24" s="4" t="inlineStr">
        <is>
          <t>Rendre le diagnostic comparable entre régions et avec les pays voisins.</t>
        </is>
      </c>
    </row>
    <row r="25">
      <c r="A25" s="9" t="inlineStr">
        <is>
          <t>O4-03</t>
        </is>
      </c>
      <c r="B25" s="10" t="inlineStr">
        <is>
          <t>Objectif 4</t>
        </is>
      </c>
      <c r="C25" s="4" t="inlineStr">
        <is>
          <t>Dans quelle mesure le mobile money supplée-t-il le réseau financier formel ?</t>
        </is>
      </c>
      <c r="D25" s="4" t="inlineStr">
        <is>
          <t>Ratio agents mobile money / guichets financiers formels</t>
        </is>
      </c>
      <c r="E25" s="4" t="inlineStr">
        <is>
          <t>Résultats O3-01 et O3-03</t>
        </is>
      </c>
      <c r="F25" s="4" t="inlineStr">
        <is>
          <t>Préfecture (plancher), commune si disponible</t>
        </is>
      </c>
      <c r="G25" s="4" t="inlineStr">
        <is>
          <t>Stock, mêmes dates de référence que O3-01 et O3-03 ; écart soumis à la règle des millésimes</t>
        </is>
      </c>
      <c r="H25" s="4" t="inlineStr">
        <is>
          <t>Agents mobile money / points formels au sens de O4-01 (agrégat, ATM exclus). Si 0 point formel : résultat non défini et territoire classé Mobile money uniquement.</t>
        </is>
      </c>
      <c r="I25" s="4" t="inlineStr">
        <is>
          <t>Nombre de guichets / points formels du territoire (dénominateur nul = cas de classification)</t>
        </is>
      </c>
      <c r="J25" s="4" t="inlineStr">
        <is>
          <t>&lt; 5 = réseaux comparables ; 5-20 = mobile money prépondérant ; &gt; 20 = suppléance quasi totale ; dénominateur nul = mobile money uniquement.</t>
        </is>
      </c>
      <c r="K25" s="4" t="inlineStr">
        <is>
          <t>Barres horizontales triées + carte</t>
        </is>
      </c>
      <c r="L25" s="4" t="inlineStr">
        <is>
          <t>Mesurer la dépendance au mobile money, qui est la question centrale du sujet.</t>
        </is>
      </c>
    </row>
    <row r="26">
      <c r="A26" s="9" t="inlineStr">
        <is>
          <t>O4-04</t>
        </is>
      </c>
      <c r="B26" s="10" t="inlineStr">
        <is>
          <t>Objectif 4</t>
        </is>
      </c>
      <c r="C26" s="4" t="inlineStr">
        <is>
          <t>Le maillage d'agents est-il assez dense pour être réellement accessible à pied ?</t>
        </is>
      </c>
      <c r="D26" s="4" t="inlineStr">
        <is>
          <t>Habitants par agent mobile money et agents pour 10 000 adultes</t>
        </is>
      </c>
      <c r="E26" s="4" t="inlineStr">
        <is>
          <t>Résultats O3-03 ; population totale et population 15 ans et plus</t>
        </is>
      </c>
      <c r="F26" s="4" t="inlineStr">
        <is>
          <t>Préfecture (plancher), commune si disponible</t>
        </is>
      </c>
      <c r="G26" s="4" t="inlineStr">
        <is>
          <t>Stock</t>
        </is>
      </c>
      <c r="H26" s="4" t="inlineStr">
        <is>
          <t>Population / nombre d'agents ; (agents / adultes) x 10 000. Préciser si le comptage porte sur des agents ou sur des points de vente physiques.</t>
        </is>
      </c>
      <c r="I26" s="4" t="inlineStr">
        <is>
          <t>Population totale ; population 15 ans et plus pour la version normalisée</t>
        </is>
      </c>
      <c r="J26" s="4" t="inlineStr">
        <is>
          <t>&lt; 1 000 hab/agent = maillage dense ; 1 000-5 000 = acceptable ; &gt; 5 000 = maillage insuffisant ; 0 agent = absence totale.</t>
        </is>
      </c>
      <c r="K26" s="4" t="inlineStr">
        <is>
          <t>Choroplèthe</t>
        </is>
      </c>
      <c r="L26" s="4" t="inlineStr">
        <is>
          <t>Cibler l'extension du réseau d'agents là où la densité est insuffisante.</t>
        </is>
      </c>
    </row>
    <row r="27">
      <c r="A27" s="9" t="inlineStr">
        <is>
          <t>O4-05</t>
        </is>
      </c>
      <c r="B27" s="10" t="inlineStr">
        <is>
          <t>Objectif 4</t>
        </is>
      </c>
      <c r="C27" s="4" t="inlineStr">
        <is>
          <t>Comment qualifier en une seule catégorie la situation d'accès financier de chaque territoire ?</t>
        </is>
      </c>
      <c r="D27" s="4" t="inlineStr">
        <is>
          <t>Statut d'accès financier du territoire (variable conceptuelle, 6 modalités)</t>
        </is>
      </c>
      <c r="E27" s="4" t="inlineStr">
        <is>
          <t>Résultats O3-01, O3-03, O4-01, O4-03 ; population</t>
        </is>
      </c>
      <c r="F27" s="4" t="inlineStr">
        <is>
          <t>Préfecture (plancher), commune si disponible</t>
        </is>
      </c>
      <c r="G27" s="4" t="inlineStr">
        <is>
          <t>Stock, millésime unique documenté</t>
        </is>
      </c>
      <c r="H27" s="4" t="inlineStr">
        <is>
          <t>Règle de décision en cascade, appliquée dans l'ordre : la première condition vraie l'emporte. La règle est écrite ici et reprise telle quelle dans le tableau de bord. Point formel = agrégat de O4-01 (ATM exclus) ; la règle 5 utilise la diversité de O4-01. Résultat croisé avec la strate urbaine.</t>
        </is>
      </c>
      <c r="I27" s="4" t="inlineStr">
        <is>
          <t>Population du territoire et nombre de points formels (voir la règle)</t>
        </is>
      </c>
      <c r="J27" s="4" t="inlineStr">
        <is>
          <t>1) Données manquantes -&gt; Non déterminable ; 2) 0 point formel et 0 agent -&gt; Non desservi ; 3) 0 point formel et &gt;= 1 agent -&gt; Mobile money uniquement ; 4) &gt;= 1 point formel et (ratio agents/points &gt; 20 ou hab/point &gt; 30 000) -&gt; Mobile money dominant ; 5) diversité O4-01 = 4 (banque, IMF, assurance, ATM) et hab/point &lt; 10 000 -&gt; Desserte diversifiée ; 6) sinon -&gt; Desserte faible.</t>
        </is>
      </c>
      <c r="K27" s="4" t="inlineStr">
        <is>
          <t>Carte catégorielle + tableau récapitulatif (modèle du paragraphe 4 de 01_problem_definition.md)</t>
        </is>
      </c>
      <c r="L27" s="4" t="inlineStr">
        <is>
          <t>Segmenter les territoires et différencier les recommandations par segment : sortie centrale du tableau de bord.</t>
        </is>
      </c>
    </row>
    <row r="28">
      <c r="A28" s="9" t="inlineStr">
        <is>
          <t>O4-06</t>
        </is>
      </c>
      <c r="B28" s="10" t="inlineStr">
        <is>
          <t>Objectif 4</t>
        </is>
      </c>
      <c r="C28" s="4" t="inlineStr">
        <is>
          <t>Les territoires dépendants du mobile money ont-ils la couverture data nécessaire à des services financiers numériques évolués ?</t>
        </is>
      </c>
      <c r="D28" s="4" t="inlineStr">
        <is>
          <t>Matrice statut d'accès financier x niveau de couverture 3G/4G</t>
        </is>
      </c>
      <c r="E28" s="4" t="inlineStr">
        <is>
          <t>Résultats O2-06 et O4-05 ; population par territoire</t>
        </is>
      </c>
      <c r="F28" s="4" t="inlineStr">
        <is>
          <t>Région et préfecture</t>
        </is>
      </c>
      <c r="G28" s="4" t="inlineStr">
        <is>
          <t>Stock ; millésimes rapprochés selon la règle des millésimes (légende), date de chaque source affichée</t>
        </is>
      </c>
      <c r="H28" s="4" t="inlineStr">
        <is>
          <t>Croisement des deux classifications. Le mobile money fonctionne en USSD sans Internet : une couverture faible n'empêche pas le mobile money, mais exclut les services financiers numériques avancés (applications, scoring de crédit, épargne en ligne).</t>
        </is>
      </c>
      <c r="I28" s="4" t="inlineStr">
        <is>
          <t>Population du territoire, pour pondérer chaque cellule par la population concernée</t>
        </is>
      </c>
      <c r="J28" s="4" t="inlineStr">
        <is>
          <t>Cellule critique = (Mobile money uniquement ou dominant) ET couverture 3G/4G &lt; 50 % -&gt; priorité maximale. Cellule favorable = desserte diversifiée et couverture &gt; 85 %. Écart de millésime &gt; 2 ans entre O2-06 et O4-05 : croisement indicatif, cellules critiques marquées « à confirmer », jamais supprimées.</t>
        </is>
      </c>
      <c r="K28" s="4" t="inlineStr">
        <is>
          <t>Matrice à double entrée (taille des cellules = population) + carte bivariée</t>
        </is>
      </c>
      <c r="L28" s="4" t="inlineStr">
        <is>
          <t>Arbitrer entre les territoires où il faut d'abord du réseau et ceux où il faut d'abord des points de service : c'est l'entrée de l'objectif 5.</t>
        </is>
      </c>
    </row>
    <row r="29">
      <c r="A29" s="11" t="inlineStr">
        <is>
          <t>O5-01</t>
        </is>
      </c>
      <c r="B29" s="12" t="inlineStr">
        <is>
          <t>Objectif 5</t>
        </is>
      </c>
      <c r="C29" s="4" t="inlineStr">
        <is>
          <t>Par quels territoires faut-il commencer ?</t>
        </is>
      </c>
      <c r="D29" s="4" t="inlineStr">
        <is>
          <t>Score de priorité composite (0-100), décomposé par dimension</t>
        </is>
      </c>
      <c r="E29" s="4" t="inlineStr">
        <is>
          <t>Dimensions : accès formel (O4-01 agrégé), maillage mobile money (O4-04), couverture data (part de la population non couverte en 3G/4G, O2-06). Segments : O4-05 et O4-06. Population du territoire, affichée à côté du score</t>
        </is>
      </c>
      <c r="F29" s="4" t="inlineStr">
        <is>
          <t>Préfecture</t>
        </is>
      </c>
      <c r="G29" s="4" t="inlineStr">
        <is>
          <t>Calculé à l'étape 09 de la procédure, après l'exploration ; millésimes rapprochés selon la règle des millésimes</t>
        </is>
      </c>
      <c r="H29" s="4" t="inlineStr">
        <is>
          <t>Chaque dimension convertie en rang percentile (100 = territoire le plus mal servi), puis moyenne pondérée. Pondération par défaut égale (1/3 chacune) ; toute autre pondération est justifiée par l'exploration et fixée AVANT le calcul, jamais ajustée après lecture du classement ; modifiable dans le tableau de bord. O4-03 exclu (redondant avec O4-01 et O4-04) ; O4-05 et O4-06 exclus (catégoriels, dérivés des mêmes données) : ils segmentent, ils ne s'additionnent pas. 0 point formel = rang le plus défavorable (règle, pas estimation) ; donnée manquante = Non déterminable, hors classement, jamais 0. Sensibilité : chaque poids doublé tour à tour, normalisation min-max, retrait du territoire extrême.</t>
        </is>
      </c>
      <c r="I29" s="4" t="inlineStr">
        <is>
          <t>Ensemble des préfectures classées (base du rang percentile). La population n'entre pas dans le score : intensité et volume sont deux lectures séparées</t>
        </is>
      </c>
      <c r="J29" s="4" t="inlineStr">
        <is>
          <t>Score &gt;= 70 = priorité 1 ; 40-69 = priorité 2 ; &lt; 40 = priorité 3. Classe robuste si elle ne change sous aucun test de sensibilité, sinon marquée instable. À classe égale, la population exposée départage.</t>
        </is>
      </c>
      <c r="K29" s="4" t="inlineStr">
        <is>
          <t>Classement trié avec décomposition par dimension + population affichée à côté + marque de robustesse + carte de priorité</t>
        </is>
      </c>
      <c r="L29" s="4" t="inlineStr">
        <is>
          <t>Ordonner la feuille de route et rendre la priorisation contestable parce qu'explicite.</t>
        </is>
      </c>
    </row>
    <row r="30">
      <c r="A30" s="11" t="inlineStr">
        <is>
          <t>O5-02</t>
        </is>
      </c>
      <c r="B30" s="12" t="inlineStr">
        <is>
          <t>Objectif 5</t>
        </is>
      </c>
      <c r="C30" s="4" t="inlineStr">
        <is>
          <t>Quel levier active-t-on pour accélérer l'usage d'Internet, et sur quels territoires ?</t>
        </is>
      </c>
      <c r="D30" s="4" t="inlineStr">
        <is>
          <t>Recommandations volet Internet, chacune rattachée à un gap mesuré</t>
        </is>
      </c>
      <c r="E30" s="4" t="inlineStr">
        <is>
          <t>Résultats O1-01 à O2-09</t>
        </is>
      </c>
      <c r="F30" s="4" t="inlineStr">
        <is>
          <t>National et territoires prioritaires</t>
        </is>
      </c>
      <c r="G30" s="4" t="inlineStr">
        <is>
          <t>Horizon d'action à 1, 3 et 5 ans</t>
        </is>
      </c>
      <c r="H30" s="4" t="inlineStr">
        <is>
          <t>Chaque recommandation cite l'identifiant de l'indicateur qui la justifie. Aucune recommandation n'est retenue sans gap chiffré : les données déterminent la recommandation, pas l'inverse.</t>
        </is>
      </c>
      <c r="I30" s="4" t="inlineStr">
        <is>
          <t>Sans objet (livrable qualitatif tracé)</t>
        </is>
      </c>
      <c r="J30" s="4" t="inlineStr">
        <is>
          <t>Règle de recevabilité : recommandation rejetée si aucun indicateur du présent classeur ne l'étaie.</t>
        </is>
      </c>
      <c r="K30" s="4" t="inlineStr">
        <is>
          <t>Tableau gap -&gt; levier -&gt; territoire -&gt; indicateur de suivi</t>
        </is>
      </c>
      <c r="L30" s="4" t="inlineStr">
        <is>
          <t>Produire un plan d'action Internet défendable devant un décideur.</t>
        </is>
      </c>
    </row>
    <row r="31">
      <c r="A31" s="11" t="inlineStr">
        <is>
          <t>O5-03</t>
        </is>
      </c>
      <c r="B31" s="12" t="inlineStr">
        <is>
          <t>Objectif 5</t>
        </is>
      </c>
      <c r="C31" s="4" t="inlineStr">
        <is>
          <t>Quel levier active-t-on pour étendre l'accès aux services financiers numériques, et où ?</t>
        </is>
      </c>
      <c r="D31" s="4" t="inlineStr">
        <is>
          <t>Recommandations volet inclusion financière numérique, rattachées à un gap mesuré</t>
        </is>
      </c>
      <c r="E31" s="4" t="inlineStr">
        <is>
          <t>Résultats O3-01 à O4-06, en priorité les cellules critiques de O4-06</t>
        </is>
      </c>
      <c r="F31" s="4" t="inlineStr">
        <is>
          <t>Territoires prioritaires issus de O5-01</t>
        </is>
      </c>
      <c r="G31" s="4" t="inlineStr">
        <is>
          <t>Horizon d'action à 1, 3 et 5 ans</t>
        </is>
      </c>
      <c r="H31" s="4" t="inlineStr">
        <is>
          <t>Même règle de traçabilité que O5-02. Distinguer les leviers d'infrastructure, de réseau d'agents, d'interopérabilité, de tarification et de compétences numériques.</t>
        </is>
      </c>
      <c r="I31" s="4" t="inlineStr">
        <is>
          <t>Sans objet (livrable qualitatif tracé)</t>
        </is>
      </c>
      <c r="J31" s="4" t="inlineStr">
        <is>
          <t>Priorité absolue aux territoires classés Mobile money uniquement ou Non desservi ; recommandation rejetée si elle n'est adossée à aucun indicateur.</t>
        </is>
      </c>
      <c r="K31" s="4" t="inlineStr">
        <is>
          <t>Tableau gap -&gt; levier -&gt; territoire -&gt; indicateur de suivi</t>
        </is>
      </c>
      <c r="L31" s="4" t="inlineStr">
        <is>
          <t>Produire un plan d'action d'inclusion financière ciblé sur les territoires les moins bien servis.</t>
        </is>
      </c>
    </row>
    <row r="32">
      <c r="A32" s="11" t="inlineStr">
        <is>
          <t>O5-04</t>
        </is>
      </c>
      <c r="B32" s="12" t="inlineStr">
        <is>
          <t>Objectif 5</t>
        </is>
      </c>
      <c r="C32" s="4" t="inlineStr">
        <is>
          <t>Comment mesurera-t-on l'effet des actions recommandées ?</t>
        </is>
      </c>
      <c r="D32" s="4" t="inlineStr">
        <is>
          <t>Cible chiffrée par recommandation (valeur de base, cible, horizon)</t>
        </is>
      </c>
      <c r="E32" s="4" t="inlineStr">
        <is>
          <t>Valeurs de base issues des indicateurs O1 à O4</t>
        </is>
      </c>
      <c r="F32" s="4" t="inlineStr">
        <is>
          <t>Territoire concerné par chaque recommandation</t>
        </is>
      </c>
      <c r="G32" s="4" t="inlineStr">
        <is>
          <t>Base = dernier millésime ; suivi annuel</t>
        </is>
      </c>
      <c r="H32" s="4" t="inlineStr">
        <is>
          <t>Valeur de base = dernière valeur observée ; cible = seuil de la classe supérieure à atteindre dans l'horizon fixé.</t>
        </is>
      </c>
      <c r="I32" s="4" t="inlineStr">
        <is>
          <t>Identique au dénominateur de l'indicateur source, pour rester comparable dans le temps</t>
        </is>
      </c>
      <c r="J32" s="4" t="inlineStr">
        <is>
          <t>Succès = franchissement du seuil de classe supérieure (exemple : passer de sous-desservi à tendu, ou de zone blanche à couverture partielle).</t>
        </is>
      </c>
      <c r="K32" s="4" t="inlineStr">
        <is>
          <t>Tableau de suivi + jauges valeur actuelle / cible</t>
        </is>
      </c>
      <c r="L32" s="4" t="inlineStr">
        <is>
          <t>Transformer le tableau de bord en outil de suivi et non en photographie unique.</t>
        </is>
      </c>
    </row>
  </sheetData>
  <autoFilter ref="A1:L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06" customWidth="1" min="2" max="2"/>
  </cols>
  <sheetData>
    <row r="1" ht="22" customHeight="1">
      <c r="A1" s="1" t="inlineStr">
        <is>
          <t>Rubrique</t>
        </is>
      </c>
      <c r="B1" s="1" t="inlineStr">
        <is>
          <t>Contenu</t>
        </is>
      </c>
    </row>
    <row r="2">
      <c r="A2" s="13" t="inlineStr">
        <is>
          <t>Objet du classeur</t>
        </is>
      </c>
      <c r="B2" s="14" t="inlineStr">
        <is>
          <t>Traduire chaque objectif de 01_problem_definition.md en indicateurs calculables et en décisions. Sert de spécification au modèle de données et au tableau de bord (Power BI ou Python).</t>
        </is>
      </c>
    </row>
    <row r="3">
      <c r="A3" s="13" t="inlineStr">
        <is>
          <t>Source du périmètre</t>
        </is>
      </c>
      <c r="B3" s="14" t="inlineStr">
        <is>
          <t>_PROJECT.txt (énoncé et 5 objectifs) et 01_problem_definition.md (cadrage, hypothèses, matrice de disponibilité). Aucune autre source utilisée.</t>
        </is>
      </c>
    </row>
    <row r="4">
      <c r="A4" s="13" t="inlineStr">
        <is>
          <t>Colonnes 1 à 8</t>
        </is>
      </c>
      <c r="B4" s="14" t="inlineStr">
        <is>
          <t>Reprises du plan annoncé en fin de 01_problem_definition.md : question décisionnelle, indicateur, données nécessaires, niveau géographique, temporalité, méthode de calcul, visualisation, décision possible.</t>
        </is>
      </c>
    </row>
    <row r="5">
      <c r="A5" s="13" t="inlineStr">
        <is>
          <t>Colonne Données nécessaires</t>
        </is>
      </c>
      <c r="B5" s="14" t="inlineStr">
        <is>
          <t>Décrit le BESOIN, jamais la source : famille de données annoncée par l'énoncé entre crochets ([Usage d'Internet], [Marché des télécoms], [Établissements financiers], [Agents mobile money], [Population]), puis variable, maille et période. [Hors énoncé] = donnée utile à une décision mais non annoncée par l'énoncé. Identifier, choisir et vérifier les sources relève de l'étape 03 (inventaire et profilage), jamais du 02.</t>
        </is>
      </c>
    </row>
    <row r="6">
      <c r="A6" s="13" t="inlineStr">
        <is>
          <t>Colonne ajoutée : Dénominateur</t>
        </is>
      </c>
      <c r="B6" s="14" t="inlineStr">
        <is>
          <t>Nomme explicitement ce par quoi on divise. Sans elle, un ratio d'accessibilité est incomparable : population totale ou population 15 ans et plus, superficie, total national, base t-1. Traite aussi le cas du dénominateur nul, qui est une catégorie de classement et non une erreur de calcul.</t>
        </is>
      </c>
    </row>
    <row r="7">
      <c r="A7" s="13" t="inlineStr">
        <is>
          <t>Colonne ajoutée : Seuil de classification</t>
        </is>
      </c>
      <c r="B7" s="14" t="inlineStr">
        <is>
          <t>Fixe à l'avance ce qui sépare bien desservi de sous-desservi, accélération de stagnation. Sans seuil écrit, la couleur d'une carte devient arbitraire et la priorisation indéfendable.</t>
        </is>
      </c>
    </row>
    <row r="8">
      <c r="A8" s="13" t="inlineStr">
        <is>
          <t>Statut des seuils</t>
        </is>
      </c>
      <c r="B8" s="14" t="inlineStr">
        <is>
          <t>Les seuils sont des valeurs de travail, issues de références publiques ou de conventions usuelles. Ils doivent être recalibrés sur les quartiles réellement observés dès que les données sont chargées, et le recalibrage doit être tracé dans l'onglet Seuils et dénominateurs.</t>
        </is>
      </c>
    </row>
    <row r="9">
      <c r="A9" s="13" t="inlineStr">
        <is>
          <t>Indicateurs optionnels</t>
        </is>
      </c>
      <c r="B9" s="14" t="inlineStr">
        <is>
          <t>Optionnel = produit seulement si l'inventaire (étape 03) établit que la donnée existe ; son absence n'empêche aucun objectif d'être traité. O2-04 (CAPEX) et O2-05 (ARPU) le sont par décision du 01 ; O1-05, O2-09 et O3-05 parce qu'ils affinent une décision sans être exigés par l'énoncé. Sont aussi conditionnelles : la couverture de O2-06, les composantes km / territoriale de O2-07 et compétences / smartphone de O1-06. Donnée absente = indicateur ou composante abandonné : aucune estimation ni valeur de substitution. O2-08 mesure l'investissement en volume, O2-04 en valeur : l'un ne se convertit pas en l'autre. Sans O2-09, la couverture de O2-06 reste une couverture théorique déclarée.</t>
        </is>
      </c>
    </row>
    <row r="10">
      <c r="A10" s="13" t="inlineStr">
        <is>
          <t>Prérequis technique</t>
        </is>
      </c>
      <c r="B10" s="14" t="inlineStr">
        <is>
          <t>Les objectifs 3, 4 et 5 reposent sur un référentiel territorial unique (régions, préfectures, communes) avec libellés normalisés et clé de jointure stable. À construire avant tout calcul de ratio. Le référentiel porte aussi une strate urbaine (Grand Lomé / autres villes / rural) : milieu de résidence officiel au niveau de la localité s'il existe dans les données ; à défaut, construit à partir de la taille des localités, avec un seuil documenté comme convention de travail. Au niveau préfecture, le milieu s'exprime en taux d'urbanisation, pas en classe binaire.</t>
        </is>
      </c>
    </row>
    <row r="11">
      <c r="A11" s="13" t="inlineStr">
        <is>
          <t>Définition : point de service formel</t>
        </is>
      </c>
      <c r="B11" s="14" t="inlineStr">
        <is>
          <t>Agences bancaires + points IMF + agences d'assurance, soit les trois types d'établissements nommés dans l'énoncé (objectif 3). Les ATM sont cartographiés (O3-01) et comptés à part (O4-01 par type, O4-02), jamais additionnés aux guichets. Définition unique pour O3-02, O4-01, O4-03 et O4-05. Pondération par type écartée : aucun coefficient n'a de source, et un résultat pondéré ne se lit plus en habitants par point.</t>
        </is>
      </c>
    </row>
    <row r="12">
      <c r="A12" s="13" t="inlineStr">
        <is>
          <t>Limite structurelle assumée</t>
        </is>
      </c>
      <c r="B12" s="14" t="inlineStr">
        <is>
          <t>Les objectifs 1 et 2 sont des séries temporelles nationales ; les objectifs 3 et 4 sont des stocks territoriaux à une date. Les deux ne forment pas un panel : aucune conclusion causale entre évolution d'Internet et accès financier territorial ne peut être tirée. Exceptions : O1-05, O1-06, O2-06, O2-07 et O2-09 sont des stocks territoriaux ; ils se croisent avec les objectifs 3 et 4 sous la règle des millésimes.</t>
        </is>
      </c>
    </row>
    <row r="13">
      <c r="A13" s="13" t="inlineStr">
        <is>
          <t>Règle des millésimes</t>
        </is>
      </c>
      <c r="B13" s="14" t="inlineStr">
        <is>
          <t>Tout croisement de sources (O4-01, O4-03, O4-05, O4-06, O5-01) affiche la date de chaque source et le sens du décalage. Pour chaque source, on retient le millésime le plus proche de la date de référence des points formels (O3-01), pas forcément le plus récent. Écart &lt;= 2 ans : croisement valide. Écart &gt; 2 ans : croisement indicatif, résultats dépendants marqués « à confirmer », jamais supprimés. Le seuil de 2 ans est une convention de travail.</t>
        </is>
      </c>
    </row>
    <row r="14">
      <c r="A14" s="13" t="inlineStr">
        <is>
          <t>Limite territoriale de l'usage</t>
        </is>
      </c>
      <c r="B14" s="14" t="inlineStr">
        <is>
          <t>L'offre financière est mesurée par territoire (O3-01, O3-03) ; l'usage du mobile money (O3-04) est défini au national. O3-05 vise les mêmes niveaux que l'offre (région, préfecture, commune) : le niveau retenu n'est pas fixé a priori, c'est le plus fin où la source se révèle fiable après inspection des données. Les territoires sans valeur fiable sont classés Non déterminable pour l'usage ; si aucune source n'est exploitable, le diagnostic territorial des objectifs 3 et 4 porte sur l'offre seulement, et le tableau de bord l'affiche.</t>
        </is>
      </c>
    </row>
    <row r="15">
      <c r="A15" s="13" t="inlineStr">
        <is>
          <t>Indicateur écarté</t>
        </is>
      </c>
      <c r="B15" s="14" t="inlineStr">
        <is>
          <t>Montant des licences payées à l'État : non retenu comme indicateur d'investissement. C'est un prélèvement de l'État sur le secteur, pas une dépense dans le réseau, et il peut réduire la capacité d'investir. Utilisable seulement comme variable de contexte réglementaire, sans seuil ni décision associée.</t>
        </is>
      </c>
    </row>
    <row r="16">
      <c r="A16" s="13" t="inlineStr">
        <is>
          <t>Règle de traçabilité</t>
        </is>
      </c>
      <c r="B16" s="14" t="inlineStr">
        <is>
          <t>Toute recommandation de l'objectif 5 cite l'identifiant de l'indicateur qui la justifie. Une recommandation sans gap chiffré est écartée.</t>
        </is>
      </c>
    </row>
    <row r="17">
      <c r="A17" s="13" t="inlineStr">
        <is>
          <t>Levier sans indicateur</t>
        </is>
      </c>
      <c r="B17" s="14" t="inlineStr">
        <is>
          <t>Un levier cité en objectif 5 (compétences numériques, tarification, etc.) dont l'indicateur est indisponible ne devient pas une recommandation : il figure en « piste à instruire », séparée des recommandations, avec la source manquante nommée. La littérature et les études externes peuvent motiver une piste, jamais justifier une recommandation territoriale.</t>
        </is>
      </c>
    </row>
    <row r="18"/>
    <row r="19">
      <c r="A19" s="15" t="inlineStr">
        <is>
          <t>Récapitulatif (calculé)</t>
        </is>
      </c>
      <c r="B19" s="15" t="inlineStr">
        <is>
          <t>Nombre d'indicateurs</t>
        </is>
      </c>
    </row>
    <row r="20">
      <c r="A20" s="16" t="inlineStr">
        <is>
          <t>Objectif 1</t>
        </is>
      </c>
      <c r="B20" s="16">
        <f>COUNTIF('Matrice de décision'!$B$2:$B$32,A19)</f>
        <v/>
      </c>
    </row>
    <row r="21">
      <c r="A21" s="16" t="inlineStr">
        <is>
          <t>Objectif 2</t>
        </is>
      </c>
      <c r="B21" s="16">
        <f>COUNTIF('Matrice de décision'!$B$2:$B$32,A20)</f>
        <v/>
      </c>
    </row>
    <row r="22">
      <c r="A22" s="16" t="inlineStr">
        <is>
          <t>Objectif 3</t>
        </is>
      </c>
      <c r="B22" s="16">
        <f>COUNTIF('Matrice de décision'!$B$2:$B$32,A21)</f>
        <v/>
      </c>
    </row>
    <row r="23">
      <c r="A23" s="16" t="inlineStr">
        <is>
          <t>Objectif 4</t>
        </is>
      </c>
      <c r="B23" s="16">
        <f>COUNTIF('Matrice de décision'!$B$2:$B$32,A22)</f>
        <v/>
      </c>
    </row>
    <row r="24">
      <c r="A24" s="16" t="inlineStr">
        <is>
          <t>Objectif 5</t>
        </is>
      </c>
      <c r="B24" s="16">
        <f>COUNTIF('Matrice de décision'!$B$2:$B$32,A23)</f>
        <v/>
      </c>
    </row>
    <row r="25">
      <c r="A25" s="17" t="inlineStr">
        <is>
          <t>Total des indicateurs</t>
        </is>
      </c>
      <c r="B25" s="17">
        <f>COUNTA('Matrice de décision'!$A$2:$A$32)</f>
        <v/>
      </c>
    </row>
    <row r="26">
      <c r="A26" s="16" t="inlineStr">
        <is>
          <t>dont indicateurs optionnels</t>
        </is>
      </c>
      <c r="B26" s="16">
        <f>COUNTIF('Matrice de décision'!$D$2:$D$32,"*OPTIONNEL*")</f>
        <v/>
      </c>
    </row>
    <row r="27"/>
    <row r="28">
      <c r="A28" s="18" t="inlineStr">
        <is>
          <t>Les 7 cellules ci-dessus sont des formules COUNTIF / COUNTA : elles se recalculent à l'ouverture du classeur et restent justes si des lignes sont ajoutées dans la plage 2:32.</t>
        </is>
      </c>
    </row>
  </sheetData>
  <mergeCells count="1">
    <mergeCell ref="A28:B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6" customWidth="1" min="3" max="3"/>
    <col width="62" customWidth="1" min="4" max="4"/>
    <col width="38" customWidth="1" min="5" max="5"/>
  </cols>
  <sheetData>
    <row r="1" ht="22" customHeight="1">
      <c r="A1" s="1" t="inlineStr">
        <is>
          <t>ID indicateur</t>
        </is>
      </c>
      <c r="B1" s="1" t="inlineStr">
        <is>
          <t>Objet du seuil</t>
        </is>
      </c>
      <c r="C1" s="1" t="inlineStr">
        <is>
          <t>Seuil retenu</t>
        </is>
      </c>
      <c r="D1" s="1" t="inlineStr">
        <is>
          <t>Justification</t>
        </is>
      </c>
      <c r="E1" s="1" t="inlineStr">
        <is>
          <t>Source du seuil</t>
        </is>
      </c>
    </row>
    <row r="2">
      <c r="A2" s="19" t="inlineStr">
        <is>
          <t>O1-01</t>
        </is>
      </c>
      <c r="B2" s="4" t="inlineStr">
        <is>
          <t>Pénétration Internet</t>
        </is>
      </c>
      <c r="C2" s="4" t="inlineStr">
        <is>
          <t>&lt; 40 % / 40-60 % / &gt; 60 %</t>
        </is>
      </c>
      <c r="D2" s="4" t="inlineStr">
        <is>
          <t>40 % reprend le constat de l'énoncé (moins de 4 personnes sur 10). Comparaison avec la moyenne Afrique subsaharienne de l'année.</t>
        </is>
      </c>
      <c r="E2" s="4" t="inlineStr">
        <is>
          <t>Énoncé (_PROJECT.txt) + repère UIT, à vérifier</t>
        </is>
      </c>
    </row>
    <row r="3">
      <c r="A3" s="19" t="inlineStr">
        <is>
          <t>O1-02</t>
        </is>
      </c>
      <c r="B3" s="4" t="inlineStr">
        <is>
          <t>Rythme de croissance</t>
        </is>
      </c>
      <c r="C3" s="4" t="inlineStr">
        <is>
          <t>Accélération &gt; moyenne + 1 écart-type ; stagnation |g| &lt; 2 % ; régression g &lt; 0</t>
        </is>
      </c>
      <c r="D3" s="4" t="inlineStr">
        <is>
          <t>Seuil statistique calculé sur la période étudiée, donc auto-calibré : aucune valeur externe imposée.</t>
        </is>
      </c>
      <c r="E3" s="4" t="inlineStr">
        <is>
          <t>Convention statistique</t>
        </is>
      </c>
    </row>
    <row r="4">
      <c r="A4" s="19" t="inlineStr">
        <is>
          <t>O1-04</t>
        </is>
      </c>
      <c r="B4" s="4" t="inlineStr">
        <is>
          <t>Bascule haut débit</t>
        </is>
      </c>
      <c r="C4" s="4" t="inlineStr">
        <is>
          <t>(3G + 4G) &gt; 80 % des abonnements data</t>
        </is>
      </c>
      <c r="D4" s="4" t="inlineStr">
        <is>
          <t>Usage courant pour considérer une migration technologique comme acquise.</t>
        </is>
      </c>
      <c r="E4" s="4" t="inlineStr">
        <is>
          <t>Convention sectorielle, à confirmer</t>
        </is>
      </c>
    </row>
    <row r="5">
      <c r="A5" s="19" t="inlineStr">
        <is>
          <t>O1-05</t>
        </is>
      </c>
      <c r="B5" s="4" t="inlineStr">
        <is>
          <t>Usage d'Internet par territoire</t>
        </is>
      </c>
      <c r="C5" s="4" t="inlineStr">
        <is>
          <t>Enquête : affichage si CV &lt; 30 % ; écart retenu si IC à 95 % disjoints ; classes de O1-01</t>
        </is>
      </c>
      <c r="D5" s="4" t="inlineStr">
        <is>
          <t>Même règle que O3-05 : ne pas lire du bruit d'échantillonnage comme un écart territorial.</t>
        </is>
      </c>
      <c r="E5" s="4" t="inlineStr">
        <is>
          <t>Convention statistique</t>
        </is>
      </c>
    </row>
    <row r="6">
      <c r="A6" s="19" t="inlineStr">
        <is>
          <t>O1-06</t>
        </is>
      </c>
      <c r="B6" s="4" t="inlineStr">
        <is>
          <t>Freins à l'usage</t>
        </is>
      </c>
      <c r="C6" s="4" t="inlineStr">
        <is>
          <t>Quartile inférieur national = frein présumé ; capacité et équipement lus séparément</t>
        </is>
      </c>
      <c r="D6" s="4" t="inlineStr">
        <is>
          <t>Aucune norme externe fiable à ce niveau territorial ; lecture relative.</t>
        </is>
      </c>
      <c r="E6" s="4" t="inlineStr">
        <is>
          <t>Convention de travail</t>
        </is>
      </c>
    </row>
    <row r="7">
      <c r="A7" s="19" t="inlineStr">
        <is>
          <t>O2-01</t>
        </is>
      </c>
      <c r="B7" s="4" t="inlineStr">
        <is>
          <t>Concentration HHI</t>
        </is>
      </c>
      <c r="C7" s="4" t="inlineStr">
        <is>
          <t>&gt; 5 000 très concentré ; 2 500-5 000 concentré ; &lt; 2 500 modéré</t>
        </is>
      </c>
      <c r="D7" s="4" t="inlineStr">
        <is>
          <t>Le seuil de 2 500 vient des lignes directrices antitrust usuelles ; 5 000 correspond à un duopole équilibré.</t>
        </is>
      </c>
      <c r="E7" s="4" t="inlineStr">
        <is>
          <t>Lignes directrices antitrust (convention)</t>
        </is>
      </c>
    </row>
    <row r="8">
      <c r="A8" s="19" t="inlineStr">
        <is>
          <t>O2-04</t>
        </is>
      </c>
      <c r="B8" s="4" t="inlineStr">
        <is>
          <t>Taux d'investissement</t>
        </is>
      </c>
      <c r="C8" s="4" t="inlineStr">
        <is>
          <t>&lt; 15 % sous-investissement ; 15-25 % normal ; &gt; 25 % cycle d'extension</t>
        </is>
      </c>
      <c r="D8" s="4" t="inlineStr">
        <is>
          <t>Fourchette usuelle du rapport CAPEX / CA dans les télécoms. Indicateur optionnel.</t>
        </is>
      </c>
      <c r="E8" s="4" t="inlineStr">
        <is>
          <t>Convention sectorielle, à confirmer</t>
        </is>
      </c>
    </row>
    <row r="9">
      <c r="A9" s="19" t="inlineStr">
        <is>
          <t>O2-05</t>
        </is>
      </c>
      <c r="B9" s="4" t="inlineStr">
        <is>
          <t>Accessibilité tarifaire</t>
        </is>
      </c>
      <c r="C9" s="4" t="inlineStr">
        <is>
          <t>1 Go &lt;= 2 % du revenu mensuel par habitant</t>
        </is>
      </c>
      <c r="D9" s="4" t="inlineStr">
        <is>
          <t>Cible de référence de la Commission ONU sur le haut débit pour un service jugé abordable.</t>
        </is>
      </c>
      <c r="E9" s="4" t="inlineStr">
        <is>
          <t>Référence internationale, à vérifier au millésime retenu</t>
        </is>
      </c>
    </row>
    <row r="10">
      <c r="A10" s="19" t="inlineStr">
        <is>
          <t>O2-06</t>
        </is>
      </c>
      <c r="B10" s="4" t="inlineStr">
        <is>
          <t>Couverture réseau</t>
        </is>
      </c>
      <c r="C10" s="4" t="inlineStr">
        <is>
          <t>&lt; 50 % zone blanche ; 50-85 % partielle ; &gt; 85 % couverte</t>
        </is>
      </c>
      <c r="D10" s="4" t="inlineStr">
        <is>
          <t>Découpage de travail, à recalibrer sur la distribution réellement observée.</t>
        </is>
      </c>
      <c r="E10" s="4" t="inlineStr">
        <is>
          <t>Convention de travail</t>
        </is>
      </c>
    </row>
    <row r="11">
      <c r="A11" s="19" t="inlineStr">
        <is>
          <t>O2-07</t>
        </is>
      </c>
      <c r="B11" s="4" t="inlineStr">
        <is>
          <t>Déploiement de la fibre</t>
        </is>
      </c>
      <c r="C11" s="4" t="inlineStr">
        <is>
          <t>Lecture en tendance ; territoire raccordé / non raccordé</t>
        </is>
      </c>
      <c r="D11" s="4" t="inlineStr">
        <is>
          <t>Pas de référence externe robuste au stade de déploiement du Togo : un seuil fixé a priori serait arbitraire.</t>
        </is>
      </c>
      <c r="E11" s="4" t="inlineStr">
        <is>
          <t>Convention de travail</t>
        </is>
      </c>
    </row>
    <row r="12">
      <c r="A12" s="19" t="inlineStr">
        <is>
          <t>O2-08</t>
        </is>
      </c>
      <c r="B12" s="4" t="inlineStr">
        <is>
          <t>Déploiement des sites radio</t>
        </is>
      </c>
      <c r="C12" s="4" t="inlineStr">
        <is>
          <t>Ajouts nets proches de 0 deux ans de suite = gel ; ajouts nets 4G en hausse = extension</t>
        </is>
      </c>
      <c r="D12" s="4" t="inlineStr">
        <is>
          <t>Lecture relative de la série, auto-calibrée. Mesure en volume : les bornes CAPEX / CA de O2-04 ne s'appliquent pas.</t>
        </is>
      </c>
      <c r="E12" s="4" t="inlineStr">
        <is>
          <t>Convention de travail</t>
        </is>
      </c>
    </row>
    <row r="13">
      <c r="A13" s="19" t="inlineStr">
        <is>
          <t>O2-09</t>
        </is>
      </c>
      <c r="B13" s="4" t="inlineStr">
        <is>
          <t>Qualité de service mesurée</t>
        </is>
      </c>
      <c r="C13" s="4" t="inlineStr">
        <is>
          <t>Nombre minimal de tests à fixer ; couverture de façade = couverture &gt; 85 % et débit au quartile inférieur</t>
        </is>
      </c>
      <c r="D13" s="4" t="inlineStr">
        <is>
          <t>Pas de seuil de débit universel : la lecture relative évite d'importer une norme de pays à haut revenu.</t>
        </is>
      </c>
      <c r="E13" s="4" t="inlineStr">
        <is>
          <t>Convention de travail</t>
        </is>
      </c>
    </row>
    <row r="14">
      <c r="A14" s="19" t="inlineStr">
        <is>
          <t>O3-02</t>
        </is>
      </c>
      <c r="B14" s="4" t="inlineStr">
        <is>
          <t>Concentration urbaine</t>
        </is>
      </c>
      <c r="C14" s="4" t="inlineStr">
        <is>
          <t>Grand Lomé &gt; 50 % des points pour &lt; 25 % de la population ; gradient si l'indice de concentration décroît Grand Lomé &gt; autres villes &gt; rural</t>
        </is>
      </c>
      <c r="D14" s="4" t="inlineStr">
        <is>
          <t>Teste l'affirmation de l'énoncé. L'indice part des points / part de population n'exige aucun seuil externe : 1 = proportionnalité.</t>
        </is>
      </c>
      <c r="E14" s="4" t="inlineStr">
        <is>
          <t>Énoncé (_PROJECT.txt) + convention de travail</t>
        </is>
      </c>
    </row>
    <row r="15">
      <c r="A15" s="19" t="inlineStr">
        <is>
          <t>O3-05</t>
        </is>
      </c>
      <c r="B15" s="4" t="inlineStr">
        <is>
          <t>Usage territorial du mobile money</t>
        </is>
      </c>
      <c r="C15" s="4" t="inlineStr">
        <is>
          <t>Enquête : affichage si territoire enquêté et CV &lt; 30 %, sinon Non déterminable ; écart retenu si IC à 95 % disjoints</t>
        </is>
      </c>
      <c r="D15" s="4" t="inlineStr">
        <is>
          <t>Le niveau géographique n'est pas fixé à l'avance : c'est la précision mesurée de chaque territoire qui décide s'il est affiché. Évite de lire du bruit d'échantillonnage comme un écart territorial.</t>
        </is>
      </c>
      <c r="E15" s="4" t="inlineStr">
        <is>
          <t>Convention statistique (seuil de CV usuel des instituts statistiques), à confirmer</t>
        </is>
      </c>
    </row>
    <row r="16">
      <c r="A16" s="19" t="inlineStr">
        <is>
          <t>O3-06</t>
        </is>
      </c>
      <c r="B16" s="4" t="inlineStr">
        <is>
          <t>Coût du mobile money</t>
        </is>
      </c>
      <c r="C16" s="4" t="inlineStr">
        <is>
          <t>Repère indicatif 3 % du montant ; régressivité signalée</t>
        </is>
      </c>
      <c r="D16" s="4" t="inlineStr">
        <is>
          <t>Pas de norme domestique ; la cible ODD 10.c porte sur les transferts internationaux et ne sert que de repère.</t>
        </is>
      </c>
      <c r="E16" s="4" t="inlineStr">
        <is>
          <t>ODD 10.c (repère indicatif), à vérifier</t>
        </is>
      </c>
    </row>
    <row r="17" ht="48" customHeight="1">
      <c r="A17" s="19" t="inlineStr">
        <is>
          <t>O4-01</t>
        </is>
      </c>
      <c r="B17" s="4" t="inlineStr">
        <is>
          <t>Habitants par point formel</t>
        </is>
      </c>
      <c r="C17" s="4" t="inlineStr">
        <is>
          <t>Agrégat hors ATM : &lt; 10 000 ; 10 000-30 000 ; &gt; 30 000 ; 0 point = non défini. Par type : médiane nationale du type</t>
        </is>
      </c>
      <c r="D17" s="4" t="inlineStr">
        <is>
          <t>Bornes cohérentes avec l'exemple chiffré du paragraphe 4 de 01_problem_definition.md (10 000 hab/point = bien desservi, 85 000 = mobile money dominant). ATM exclus de l'agrégat pour qu'un territoire sans guichet ne paraisse pas desservi.</t>
        </is>
      </c>
      <c r="E17" s="4" t="inlineStr">
        <is>
          <t>01_problem_definition.md, exemple de tableau attendu</t>
        </is>
      </c>
    </row>
    <row r="18">
      <c r="A18" s="19" t="inlineStr">
        <is>
          <t>O4-02</t>
        </is>
      </c>
      <c r="B18" s="4" t="inlineStr">
        <is>
          <t>Accès normalisé</t>
        </is>
      </c>
      <c r="C18" s="4" t="inlineStr">
        <is>
          <t>Comparaison à la médiane nationale et à la moyenne UEMOA ; quartile inférieur = prioritaire</t>
        </is>
      </c>
      <c r="D18" s="4" t="inlineStr">
        <is>
          <t>Le double dénominateur adultes / superficie est la pratique du Financial Access Survey du FMI. Agences et ATM y sont toujours comptés séparément.</t>
        </is>
      </c>
      <c r="E18" s="4" t="inlineStr">
        <is>
          <t>Standard FMI (Financial Access Survey), à vérifier</t>
        </is>
      </c>
    </row>
    <row r="19">
      <c r="A19" s="19" t="inlineStr">
        <is>
          <t>O4-03</t>
        </is>
      </c>
      <c r="B19" s="4" t="inlineStr">
        <is>
          <t>Agents par guichet</t>
        </is>
      </c>
      <c r="C19" s="4" t="inlineStr">
        <is>
          <t>&lt; 5 ; 5-20 ; &gt; 20 ; dénominateur nul = mobile money uniquement</t>
        </is>
      </c>
      <c r="D19" s="4" t="inlineStr">
        <is>
          <t>Bornes dérivées de l'exemple du paragraphe 4 (32 agents pour 1 point formel = mobile money dominant).</t>
        </is>
      </c>
      <c r="E19" s="4" t="inlineStr">
        <is>
          <t>01_problem_definition.md, exemple de tableau attendu</t>
        </is>
      </c>
    </row>
    <row r="20">
      <c r="A20" s="19" t="inlineStr">
        <is>
          <t>O4-04</t>
        </is>
      </c>
      <c r="B20" s="4" t="inlineStr">
        <is>
          <t>Habitants par agent</t>
        </is>
      </c>
      <c r="C20" s="4" t="inlineStr">
        <is>
          <t>&lt; 1 000 dense ; 1 000-5 000 acceptable ; &gt; 5 000 insuffisant</t>
        </is>
      </c>
      <c r="D20" s="4" t="inlineStr">
        <is>
          <t>Bornes de travail, à recalibrer sur les quartiles observés.</t>
        </is>
      </c>
      <c r="E20" s="4" t="inlineStr">
        <is>
          <t>Convention de travail</t>
        </is>
      </c>
    </row>
    <row r="21">
      <c r="A21" s="19" t="inlineStr">
        <is>
          <t>O4-05</t>
        </is>
      </c>
      <c r="B21" s="4" t="inlineStr">
        <is>
          <t>Statut d'accès financier</t>
        </is>
      </c>
      <c r="C21" s="4" t="inlineStr">
        <is>
          <t>Cascade en 6 règles : voir la colonne Seuil de classification de O4-05</t>
        </is>
      </c>
      <c r="D21" s="4" t="inlineStr">
        <is>
          <t>Les 5 modalités du paragraphe 4 de 01_problem_definition.md, plus la modalité Non desservi (0 point formel et 0 agent), absente du document initial alors qu'elle est le cas le plus critique.</t>
        </is>
      </c>
      <c r="E21" s="4" t="inlineStr">
        <is>
          <t>01_problem_definition.md, complété</t>
        </is>
      </c>
    </row>
    <row r="22">
      <c r="A22" s="19" t="inlineStr">
        <is>
          <t>O4-06</t>
        </is>
      </c>
      <c r="B22" s="4" t="inlineStr">
        <is>
          <t>Croisement adoption x accès</t>
        </is>
      </c>
      <c r="C22" s="4" t="inlineStr">
        <is>
          <t>Critique = (mobile money uniquement ou dominant) et couverture &lt; 50 % ; écart de millésime &gt; 2 ans = à confirmer</t>
        </is>
      </c>
      <c r="D22" s="4" t="inlineStr">
        <is>
          <t>Croisement absent de 01_problem_definition.md, où les dimensions A, B et C restent séparées jusqu'au diagnostic final. Seuil de 2 ans sur l'écart de millésime : convention de travail.</t>
        </is>
      </c>
      <c r="E22" s="4" t="inlineStr">
        <is>
          <t>Ajout de cadrage</t>
        </is>
      </c>
    </row>
    <row r="23">
      <c r="A23" s="19" t="inlineStr">
        <is>
          <t>O5-01</t>
        </is>
      </c>
      <c r="B23" s="4" t="inlineStr">
        <is>
          <t>Score de priorité</t>
        </is>
      </c>
      <c r="C23" s="4" t="inlineStr">
        <is>
          <t>Moyenne des rangs percentiles &gt;= 70 priorité 1 ; 40-69 priorité 2 ; &lt; 40 priorité 3 ; classe robuste si inchangée aux tests de sensibilité</t>
        </is>
      </c>
      <c r="D23" s="4" t="inlineStr">
        <is>
          <t>Rang percentile plutôt que min-max : le min-max est écrasé par un seul extrême. Score &gt;= 70 = plus mal placé que 70 % des territoires, en moyenne sur les dimensions. Pondération égale par défaut, faute de justification contraire.</t>
        </is>
      </c>
      <c r="E23" s="4" t="inlineStr">
        <is>
          <t>_PROCEDURE_METHODOLOGIE.txt (étapes 08-09) + convention de travail</t>
        </is>
      </c>
    </row>
    <row r="25">
      <c r="A25" s="20" t="inlineStr">
        <is>
          <t>Hypothèse générale : tous les seuils ci-dessus sont des valeurs de travail, posées avant l'accès aux données. Ceux marqués « convention de travail » n'ont aucune source externe et doivent être remplacés par les quartiles observés dès le chargement des données réelles. Toute modification doit être datée dans cet onglet.</t>
        </is>
      </c>
    </row>
  </sheetData>
  <mergeCells count="1">
    <mergeCell ref="A25: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2026-09-24T11:41:54Z</dcterms:created>
  <dcterms:modified xmlns:dcterms="http://purl.org/dc/terms/" xmlns:xsi="http://www.w3.org/2001/XMLSchema-instance" xsi:type="dcterms:W3CDTF">2026-09-24T23:38:08Z</dcterms:modified>
</cp:coreProperties>
</file>